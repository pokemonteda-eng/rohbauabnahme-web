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8c3bbfd6-bf0c-4c21-88a6-569515788121.png" ContentType="image/.png"/>
  <Override PartName="/customUI/images/f6d85a77-b213-4a40-98cf-f671d8e5cc72.png" ContentType="image/.png"/>
  <Override PartName="/customUI/images/094e4783-1408-40ad-8322-0dc80975a332.png" ContentType="image/.png"/>
  <Override PartName="/customUI/images/e14e4d01-35fc-49de-9482-8d3d2c0a5f67.png" ContentType="image/.png"/>
  <Override PartName="/customUI/images/d1565845-9b1e-4d80-ac5f-16c789ecaf6e.png" ContentType="image/.png"/>
  <Override PartName="/customUI/images/b561bf5f-d2de-4b3a-84b1-560af9c89f24.png" ContentType="image/.png"/>
  <Override PartName="/customUI/images/660acc10-f30e-4009-ba6f-e1634c43f0b9.png" ContentType="image/.png"/>
  <Override PartName="/customUI/images/de0f1cc1-6d9b-4b5c-b2ba-0a0a74ec19cd.png" ContentType="image/.png"/>
  <Override PartName="/customUI/images/ec6d6b87-5957-4323-b197-7d731967e871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6bf8f5c4717458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schroeder\Downloads\"/>
    </mc:Choice>
  </mc:AlternateContent>
  <xr:revisionPtr revIDLastSave="0" documentId="13_ncr:1_{FD52252A-3998-416C-A9E8-EFFCB2E2895C}" xr6:coauthVersionLast="47" xr6:coauthVersionMax="47" xr10:uidLastSave="{00000000-0000-0000-0000-000000000000}"/>
  <bookViews>
    <workbookView showHorizontalScroll="0" showSheetTabs="0" xWindow="-28920" yWindow="-120" windowWidth="29040" windowHeight="15720" tabRatio="859" xr2:uid="{00000000-000D-0000-FFFF-FFFF00000000}"/>
  </bookViews>
  <sheets>
    <sheet name="FB_Rohbauabnahmeprotokoll" sheetId="1" r:id="rId1"/>
    <sheet name="1" sheetId="16" r:id="rId2"/>
    <sheet name="FZB" sheetId="15" r:id="rId3"/>
    <sheet name="Ergebnis" sheetId="6" r:id="rId4"/>
    <sheet name="Lackierung u. Beschichtung" sheetId="8" r:id="rId5"/>
    <sheet name="Fahrzeugbeschriftung" sheetId="17" r:id="rId6"/>
    <sheet name="Fahrzeugbeleuchtung" sheetId="9" r:id="rId7"/>
    <sheet name="Zubehör" sheetId="10" r:id="rId8"/>
    <sheet name="Kabel u. Funklayout" sheetId="11" r:id="rId9"/>
    <sheet name="Techn. Änderung" sheetId="7" r:id="rId10"/>
  </sheets>
  <functionGroups builtInGroupCount="19"/>
  <definedNames>
    <definedName name="Aufbautyp">FB_Rohbauabnahmeprotokoll!$F$4</definedName>
    <definedName name="Auftrags_Nr">FB_Rohbauabnahmeprotokoll!$S$3</definedName>
    <definedName name="Bedienung1">FB_Rohbauabnahmeprotokoll!$AK$69:$AK$83</definedName>
    <definedName name="Bedienung2">FB_Rohbauabnahmeprotokoll!$AL$69:$AL$83</definedName>
    <definedName name="BedienungVom">FB_Rohbauabnahmeprotokoll!$U$69:$X$83</definedName>
    <definedName name="Bereich_Gesamt">FB_Rohbauabnahmeprotokoll!$F$3:$M$7,FB_Rohbauabnahmeprotokoll!$N$6:$T$7,FB_Rohbauabnahmeprotokoll!$S$3:$X$4,FB_Rohbauabnahmeprotokoll!$Q$9,FB_Rohbauabnahmeprotokoll!$F$9:$K$10,FB_Rohbauabnahmeprotokoll!$H$13:$L$19,FB_Rohbauabnahmeprotokoll!$U$13:$X$18,FB_Rohbauabnahmeprotokoll!$D$21:$X$27,FB_Rohbauabnahmeprotokoll!$K$30:$M$32,FB_Rohbauabnahmeprotokoll!$M$33:$P$35,FB_Rohbauabnahmeprotokoll!$D$37:$X$43,FB_Rohbauabnahmeprotokoll!$P$46:$S$47,FB_Rohbauabnahmeprotokoll!$P$50,FB_Rohbauabnahmeprotokoll!$B$69:$X$83,FB_Rohbauabnahmeprotokoll!$B$87:$X$104,FB_Rohbauabnahmeprotokoll!$C$110,FB_Rohbauabnahmeprotokoll!$C$115,FB_Rohbauabnahmeprotokoll!$Y$87:$Y$104</definedName>
    <definedName name="Bereich_ohnePreis">FB_Rohbauabnahmeprotokoll!$F$3:$M$7,FB_Rohbauabnahmeprotokoll!$N$6:$T$7,FB_Rohbauabnahmeprotokoll!$S$3:$X$4,FB_Rohbauabnahmeprotokoll!$Q$9,FB_Rohbauabnahmeprotokoll!$F$9:$K$10,FB_Rohbauabnahmeprotokoll!$H$13:$L$19,FB_Rohbauabnahmeprotokoll!$U$13:$X$18,FB_Rohbauabnahmeprotokoll!$D$21:$X$27,FB_Rohbauabnahmeprotokoll!$K$30:$M$32,FB_Rohbauabnahmeprotokoll!$M$33:$P$35,FB_Rohbauabnahmeprotokoll!$D$37:$X$43,FB_Rohbauabnahmeprotokoll!$P$46:$S$47,FB_Rohbauabnahmeprotokoll!$P$50,FB_Rohbauabnahmeprotokoll!$C$69:$T$83,FB_Rohbauabnahmeprotokoll!$B$87:$T$104,FB_Rohbauabnahmeprotokoll!$C$110,FB_Rohbauabnahmeprotokoll!$N$110,FB_Rohbauabnahmeprotokoll!$C$115,FB_Rohbauabnahmeprotokoll!$N$115</definedName>
    <definedName name="Bereich_Unterschrift">FB_Rohbauabnahmeprotokoll!$109:$117</definedName>
    <definedName name="BW">FB_Rohbauabnahmeprotokoll!$Y$86:$Y$104</definedName>
    <definedName name="BW_Daten">FB_Rohbauabnahmeprotokoll!$AH$87:$AH$104</definedName>
    <definedName name="BW_Ende">FB_Rohbauabnahmeprotokoll!$C$87</definedName>
    <definedName name="BW_Start">FB_Rohbauabnahmeprotokoll!$Y$86</definedName>
    <definedName name="DateiListe">FILES(Verzeichnis&amp;"\*."&amp;Dateityp)</definedName>
    <definedName name="DateiListe_RBA">FILES(Verzeichnis_Bilder_RBA&amp;"\*."&amp;Dateityp_Bilder_RBA)</definedName>
    <definedName name="Dateityp">FB_Rohbauabnahmeprotokoll!$AJ$3</definedName>
    <definedName name="Dateityp_Bilder_RBA">FB_Rohbauabnahmeprotokoll!$CB$112</definedName>
    <definedName name="DatumFahrzeugbeschriftung">FB_Rohbauabnahmeprotokoll!$M$35</definedName>
    <definedName name="DatumUnterschrift">FB_Rohbauabnahmeprotokoll!$C$110,FB_Rohbauabnahmeprotokoll!$C$115</definedName>
    <definedName name="DatumZubehör">FB_Rohbauabnahmeprotokoll!$P$47</definedName>
    <definedName name="_xlnm.Print_Area" localSheetId="0">FB_Rohbauabnahmeprotokoll!$B$1:$X$117</definedName>
    <definedName name="_xlnm.Print_Titles" localSheetId="0">FB_Rohbauabnahmeprotokoll!$1:$1</definedName>
    <definedName name="Fahrzeugbeschriftung">FB_Rohbauabnahmeprotokoll!$K$30:$N$32,FB_Rohbauabnahmeprotokoll!$M$33:$P$35,FB_Rohbauabnahmeprotokoll!$D$37:$X$43</definedName>
    <definedName name="Funklayout">FB_Rohbauabnahmeprotokoll!$P$50</definedName>
    <definedName name="Hersteller_Typ">FB_Rohbauabnahmeprotokoll!$AJ$69:$AJ$83</definedName>
    <definedName name="Kategorie">FB_Rohbauabnahmeprotokoll!$AI$69:$AI$83</definedName>
    <definedName name="Kunde">FB_Rohbauabnahmeprotokoll!$F$3</definedName>
    <definedName name="Nr_FZB">FB_Rohbauabnahmeprotokoll!$AG$69:$AG$83</definedName>
    <definedName name="Position">FB_Rohbauabnahmeprotokoll!$AM$69:$AM$83</definedName>
    <definedName name="Preis">FB_Rohbauabnahmeprotokoll!$U$87:$W$104</definedName>
    <definedName name="Preis_Daten">FB_Rohbauabnahmeprotokoll!$AG$87:$AG$104</definedName>
    <definedName name="Preis_Ende">FB_Rohbauabnahmeprotokoll!$U$104</definedName>
    <definedName name="Preis_Formatierung">FB_Rohbauabnahmeprotokoll!$U$87:$W$105</definedName>
    <definedName name="Projektleiter_MU">FB_Rohbauabnahmeprotokoll!$G$9</definedName>
    <definedName name="Prüf_Fahrzeugbeschriftung">FB_Rohbauabnahmeprotokoll!$P$46:$S$47</definedName>
    <definedName name="Prüf_Kopfteil">FB_Rohbauabnahmeprotokoll!$H$13:$L$19,FB_Rohbauabnahmeprotokoll!$U$13:$X$18</definedName>
    <definedName name="repl_table">'1'!$A$1:$B$58</definedName>
    <definedName name="Schutz_Änderungen">FB_Rohbauabnahmeprotokoll!$B$84:$X$86</definedName>
    <definedName name="Schutz_Beleuchtung">FB_Rohbauabnahmeprotokoll!$B$52,FB_Rohbauabnahmeprotokoll!$B$68:$X$68</definedName>
    <definedName name="Schutz_Ende">FB_Rohbauabnahmeprotokoll!$B$105:$X$109,FB_Rohbauabnahmeprotokoll!$M$110,FB_Rohbauabnahmeprotokoll!$L$110,FB_Rohbauabnahmeprotokoll!$X$110,FB_Rohbauabnahmeprotokoll!$B$110,FB_Rohbauabnahmeprotokoll!$B$111:$X$114,FB_Rohbauabnahmeprotokoll!$B$115,FB_Rohbauabnahmeprotokoll!$X$115,FB_Rohbauabnahmeprotokoll!$M$115,FB_Rohbauabnahmeprotokoll!$L$115,FB_Rohbauabnahmeprotokoll!$B$116:$X$117</definedName>
    <definedName name="Schutz_Fahrzeug">FB_Rohbauabnahmeprotokoll!$B$29,FB_Rohbauabnahmeprotokoll!$B$30,FB_Rohbauabnahmeprotokoll!$B$31,FB_Rohbauabnahmeprotokoll!$B$32,FB_Rohbauabnahmeprotokoll!$B$33,FB_Rohbauabnahmeprotokoll!$B$34,FB_Rohbauabnahmeprotokoll!$B$35,FB_Rohbauabnahmeprotokoll!$N$30:$X$32,FB_Rohbauabnahmeprotokoll!$Q$33:$X$36,FB_Rohbauabnahmeprotokoll!$B$36:$P$36,FB_Rohbauabnahmeprotokoll!$B$37:$C$43,FB_Rohbauabnahmeprotokoll!$B$44:$X$44</definedName>
    <definedName name="Schutz_Kabel">FB_Rohbauabnahmeprotokoll!$B$49,FB_Rohbauabnahmeprotokoll!$B$50,FB_Rohbauabnahmeprotokoll!$B$51:$X$51</definedName>
    <definedName name="Schutz_Kopf">FB_Rohbauabnahmeprotokoll!$B$1:$X$2,FB_Rohbauabnahmeprotokoll!$B$3:$E$8,FB_Rohbauabnahmeprotokoll!$N$3:$N$5,FB_Rohbauabnahmeprotokoll!$O$5,FB_Rohbauabnahmeprotokoll!$U$6:$X$10,FB_Rohbauabnahmeprotokoll!$F$8:$T$8,FB_Rohbauabnahmeprotokoll!$L$9:$N$10,FB_Rohbauabnahmeprotokoll!$O$10:$T$10,FB_Rohbauabnahmeprotokoll!$B$9:$E$10,FB_Rohbauabnahmeprotokoll!$B$11,FB_Rohbauabnahmeprotokoll!$F$3,FB_Rohbauabnahmeprotokoll!$F$4</definedName>
    <definedName name="Schutz_Lack">FB_Rohbauabnahmeprotokoll!$B$12,FB_Rohbauabnahmeprotokoll!$B$13:$G$19,FB_Rohbauabnahmeprotokoll!$M$13:$T$19,FB_Rohbauabnahmeprotokoll!$U$19:$X$19,FB_Rohbauabnahmeprotokoll!$B$20,FB_Rohbauabnahmeprotokoll!$B$21:$C$27,FB_Rohbauabnahmeprotokoll!$B$28:$X$28</definedName>
    <definedName name="Schutz_Spalte_25">FB_Rohbauabnahmeprotokoll!$Y$1:$Y$85,FB_Rohbauabnahmeprotokoll!$Y$105:$Y$117</definedName>
    <definedName name="Schutz_Spalte1">FB_Rohbauabnahmeprotokoll!$A:$A</definedName>
    <definedName name="Schutz_Spalte2_oben">FB_Rohbauabnahmeprotokoll!$B$69:$B$83</definedName>
    <definedName name="Schutz_Spalte2_unten">FB_Rohbauabnahmeprotokoll!$B$87:$B$104</definedName>
    <definedName name="Schutz_Spalte26_34">FB_Rohbauabnahmeprotokoll!$Z:$AH</definedName>
    <definedName name="Schutz_Zubehör">FB_Rohbauabnahmeprotokoll!$B$45:$X$45,FB_Rohbauabnahmeprotokoll!$B$46:$O$47,FB_Rohbauabnahmeprotokoll!$T$46:$X$48,FB_Rohbauabnahmeprotokoll!$B$48:$S$48</definedName>
    <definedName name="SummeGesamt">FB_Rohbauabnahmeprotokoll!$U$105</definedName>
    <definedName name="Techn_Änderungen">FB_Rohbauabnahmeprotokoll!$B$87:$Y$104</definedName>
    <definedName name="Technische_Änderungen">FB_Rohbauabnahmeprotokoll!$AF$87:$AF$104</definedName>
    <definedName name="Verzeichnis">FB_Rohbauabnahmeprotokoll!$AJ$2</definedName>
    <definedName name="Verzeichnis_Bilder_RBA">FB_Rohbauabnahmeprotokoll!$CB$111</definedName>
    <definedName name="Zub_1">FB_Rohbauabnahmeprotokoll!$P$46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81" i="1" l="1"/>
  <c r="B81" i="1"/>
  <c r="A81" i="1"/>
  <c r="AG81" i="1" s="1"/>
  <c r="AH81" i="1" s="1"/>
  <c r="AF78" i="1"/>
  <c r="B78" i="1"/>
  <c r="A78" i="1"/>
  <c r="AG78" i="1" s="1"/>
  <c r="AH78" i="1" s="1"/>
  <c r="AF73" i="1" l="1"/>
  <c r="B73" i="1"/>
  <c r="A73" i="1"/>
  <c r="AG73" i="1" s="1"/>
  <c r="AH73" i="1" s="1"/>
  <c r="AF74" i="1" l="1"/>
  <c r="B74" i="1"/>
  <c r="AF75" i="1"/>
  <c r="B75" i="1"/>
  <c r="A75" i="1"/>
  <c r="AG75" i="1" s="1"/>
  <c r="AH75" i="1" s="1"/>
  <c r="AF76" i="1"/>
  <c r="B76" i="1"/>
  <c r="A76" i="1"/>
  <c r="AG76" i="1" s="1"/>
  <c r="AH76" i="1" s="1"/>
  <c r="AF77" i="1"/>
  <c r="B77" i="1"/>
  <c r="A77" i="1"/>
  <c r="AG77" i="1" s="1"/>
  <c r="AH77" i="1" s="1"/>
  <c r="AF79" i="1"/>
  <c r="B79" i="1"/>
  <c r="A79" i="1"/>
  <c r="AG79" i="1" s="1"/>
  <c r="AH79" i="1" s="1"/>
  <c r="AF80" i="1"/>
  <c r="B80" i="1"/>
  <c r="AF82" i="1"/>
  <c r="B82" i="1"/>
  <c r="AF72" i="1" l="1"/>
  <c r="B72" i="1"/>
  <c r="BM4" i="1" l="1"/>
  <c r="BL4" i="1"/>
  <c r="BK4" i="1"/>
  <c r="AH88" i="1" l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H87" i="1" l="1"/>
  <c r="BO4" i="1" s="1"/>
  <c r="AG87" i="1"/>
  <c r="BP4" i="1" l="1"/>
  <c r="U105" i="1"/>
  <c r="BQ4" i="1" s="1"/>
  <c r="B103" i="1"/>
  <c r="AE103" i="1" l="1"/>
  <c r="AI103" i="1"/>
  <c r="CB111" i="1"/>
  <c r="CA139" i="1"/>
  <c r="AK14" i="1" l="1"/>
  <c r="CA116" i="1"/>
  <c r="CA151" i="1"/>
  <c r="CA119" i="1"/>
  <c r="CA155" i="1"/>
  <c r="CA146" i="1"/>
  <c r="CA125" i="1"/>
  <c r="CA115" i="1"/>
  <c r="CA117" i="1"/>
  <c r="CA129" i="1"/>
  <c r="CA159" i="1"/>
  <c r="CA130" i="1"/>
  <c r="CA142" i="1"/>
  <c r="CA147" i="1"/>
  <c r="CA141" i="1"/>
  <c r="CA144" i="1"/>
  <c r="CA113" i="1"/>
  <c r="CA114" i="1"/>
  <c r="CA157" i="1"/>
  <c r="CA145" i="1"/>
  <c r="CA124" i="1"/>
  <c r="CA153" i="1"/>
  <c r="CA140" i="1"/>
  <c r="CA137" i="1"/>
  <c r="CA163" i="1"/>
  <c r="CA136" i="1"/>
  <c r="CA150" i="1"/>
  <c r="CA128" i="1"/>
  <c r="CA143" i="1"/>
  <c r="CA126" i="1"/>
  <c r="CA121" i="1"/>
  <c r="CA154" i="1"/>
  <c r="CA158" i="1"/>
  <c r="CA127" i="1"/>
  <c r="CA132" i="1"/>
  <c r="CA120" i="1"/>
  <c r="CA149" i="1"/>
  <c r="CA162" i="1"/>
  <c r="CA122" i="1"/>
  <c r="CA156" i="1"/>
  <c r="CA118" i="1"/>
  <c r="CA138" i="1"/>
  <c r="CA134" i="1"/>
  <c r="CA131" i="1"/>
  <c r="CA133" i="1"/>
  <c r="CA123" i="1"/>
  <c r="CA135" i="1"/>
  <c r="CA152" i="1"/>
  <c r="CA148" i="1"/>
  <c r="CA161" i="1"/>
  <c r="CA160" i="1"/>
  <c r="AK12" i="1" l="1"/>
  <c r="AK9" i="1" l="1"/>
  <c r="AL10" i="1" l="1"/>
  <c r="AK5" i="1" l="1"/>
  <c r="AK7" i="1" s="1"/>
  <c r="AK6" i="1" l="1"/>
  <c r="AK10" i="1" l="1"/>
  <c r="B32" i="1" l="1"/>
  <c r="AM2" i="1" l="1"/>
  <c r="AM3" i="1" s="1"/>
  <c r="AM1" i="1" l="1"/>
  <c r="AL2" i="1"/>
  <c r="AL3" i="1" s="1"/>
  <c r="AK2" i="1" l="1"/>
  <c r="AK3" i="1" s="1"/>
  <c r="A68" i="1" l="1"/>
  <c r="A3" i="1" s="1"/>
  <c r="O9" i="1" l="1"/>
  <c r="N13" i="1"/>
  <c r="N14" i="1"/>
  <c r="B107" i="1" l="1"/>
  <c r="AI18" i="1"/>
  <c r="AI19" i="1"/>
  <c r="AI14" i="1"/>
  <c r="AI20" i="1"/>
  <c r="AI17" i="1"/>
  <c r="AI15" i="1"/>
  <c r="AI4" i="1"/>
  <c r="AI10" i="1"/>
  <c r="AI16" i="1"/>
  <c r="AI13" i="1"/>
  <c r="AI8" i="1"/>
  <c r="AI6" i="1"/>
  <c r="AI11" i="1"/>
  <c r="AI7" i="1"/>
  <c r="AI9" i="1"/>
  <c r="AI12" i="1"/>
  <c r="AI5" i="1"/>
  <c r="B34" i="1" l="1"/>
  <c r="B33" i="1"/>
  <c r="B35" i="1" l="1"/>
  <c r="B101" i="1"/>
  <c r="AE101" i="1" l="1"/>
  <c r="AI101" i="1"/>
  <c r="B1" i="1" l="1"/>
  <c r="Q105" i="1" l="1"/>
  <c r="B3" i="1"/>
  <c r="B22" i="1" l="1"/>
  <c r="C68" i="1" l="1"/>
  <c r="A74" i="1" s="1"/>
  <c r="AG74" i="1" s="1"/>
  <c r="AH74" i="1" s="1"/>
  <c r="A82" i="1" l="1"/>
  <c r="AG82" i="1" s="1"/>
  <c r="AH82" i="1" s="1"/>
  <c r="A80" i="1"/>
  <c r="AG80" i="1" s="1"/>
  <c r="AH80" i="1" s="1"/>
  <c r="A72" i="1"/>
  <c r="AG72" i="1" s="1"/>
  <c r="AH72" i="1" s="1"/>
  <c r="B21" i="1"/>
  <c r="B50" i="1"/>
  <c r="AF69" i="1"/>
  <c r="B69" i="1"/>
  <c r="AF70" i="1"/>
  <c r="B70" i="1"/>
  <c r="A70" i="1"/>
  <c r="AG70" i="1" s="1"/>
  <c r="AH70" i="1" s="1"/>
  <c r="B30" i="1" l="1"/>
  <c r="B31" i="1" l="1"/>
  <c r="B29" i="1" l="1"/>
  <c r="B37" i="1" l="1"/>
  <c r="B19" i="1" l="1"/>
  <c r="B12" i="1"/>
  <c r="AF87" i="1" l="1"/>
  <c r="AM83" i="1" l="1"/>
  <c r="AF71" i="1" l="1"/>
  <c r="BN4" i="1" l="1"/>
  <c r="B68" i="1" l="1"/>
  <c r="B17" i="1" l="1"/>
  <c r="B13" i="1"/>
  <c r="N18" i="1" l="1"/>
  <c r="O4" i="1"/>
  <c r="B5" i="1"/>
  <c r="B4" i="1"/>
  <c r="N116" i="1" l="1"/>
  <c r="C116" i="1"/>
  <c r="N111" i="1"/>
  <c r="C111" i="1"/>
  <c r="U86" i="1"/>
  <c r="C86" i="1"/>
  <c r="B97" i="1" s="1"/>
  <c r="B86" i="1"/>
  <c r="B49" i="1"/>
  <c r="B45" i="1"/>
  <c r="U68" i="1"/>
  <c r="J68" i="1"/>
  <c r="B52" i="1"/>
  <c r="N17" i="1"/>
  <c r="N16" i="1"/>
  <c r="N15" i="1"/>
  <c r="B18" i="1"/>
  <c r="B16" i="1"/>
  <c r="B15" i="1"/>
  <c r="B14" i="1"/>
  <c r="B10" i="1"/>
  <c r="B9" i="1"/>
  <c r="O3" i="1"/>
  <c r="B47" i="1"/>
  <c r="B46" i="1"/>
  <c r="AE97" i="1" l="1"/>
  <c r="AI97" i="1"/>
  <c r="B96" i="1"/>
  <c r="AI96" i="1" s="1"/>
  <c r="B89" i="1"/>
  <c r="AI89" i="1" s="1"/>
  <c r="B102" i="1"/>
  <c r="B100" i="1"/>
  <c r="B88" i="1"/>
  <c r="AI88" i="1" s="1"/>
  <c r="B98" i="1"/>
  <c r="B99" i="1"/>
  <c r="B95" i="1"/>
  <c r="AI95" i="1" s="1"/>
  <c r="B91" i="1"/>
  <c r="AI91" i="1" s="1"/>
  <c r="B93" i="1"/>
  <c r="AI93" i="1" s="1"/>
  <c r="B90" i="1"/>
  <c r="AI90" i="1" s="1"/>
  <c r="B92" i="1"/>
  <c r="AI92" i="1" s="1"/>
  <c r="A69" i="1"/>
  <c r="AG69" i="1" s="1"/>
  <c r="AH69" i="1" s="1"/>
  <c r="B94" i="1"/>
  <c r="AI94" i="1" s="1"/>
  <c r="AE100" i="1" l="1"/>
  <c r="AI100" i="1"/>
  <c r="AE98" i="1"/>
  <c r="AI98" i="1"/>
  <c r="AE102" i="1"/>
  <c r="AI102" i="1"/>
  <c r="AE99" i="1"/>
  <c r="AI99" i="1"/>
  <c r="AA1" i="1"/>
  <c r="AB1" i="1" l="1"/>
  <c r="AF83" i="1"/>
  <c r="B83" i="1"/>
  <c r="A83" i="1"/>
  <c r="AG83" i="1" s="1"/>
  <c r="AH83" i="1" s="1"/>
  <c r="B87" i="1"/>
  <c r="AI87" i="1" s="1"/>
  <c r="B71" i="1" l="1"/>
  <c r="B104" i="1" l="1"/>
  <c r="AE104" i="1" l="1"/>
  <c r="AI104" i="1"/>
  <c r="A71" i="1"/>
  <c r="AG71" i="1" s="1"/>
  <c r="AH71" i="1" s="1"/>
  <c r="A86" i="1" l="1"/>
  <c r="A5" i="1" s="1"/>
  <c r="A84" i="1"/>
  <c r="A4" i="1" s="1"/>
  <c r="A105" i="1"/>
  <c r="A6" i="1" s="1"/>
</calcChain>
</file>

<file path=xl/sharedStrings.xml><?xml version="1.0" encoding="utf-8"?>
<sst xmlns="http://schemas.openxmlformats.org/spreadsheetml/2006/main" count="435" uniqueCount="315">
  <si>
    <t>Rohbauabnahmeprotokoll</t>
  </si>
  <si>
    <t>Kunde :</t>
  </si>
  <si>
    <t>Aufbautyp :</t>
  </si>
  <si>
    <t>Besucher :</t>
  </si>
  <si>
    <t>Auftrags- Nr.:</t>
  </si>
  <si>
    <t>Vertriebsgebiet :</t>
  </si>
  <si>
    <t>Datum :</t>
  </si>
  <si>
    <t>Lackierung u. Beschichtung</t>
  </si>
  <si>
    <t>Klarlackschicht :</t>
  </si>
  <si>
    <t>Zinkstaubbeschichtung :</t>
  </si>
  <si>
    <t>E- Kolbenbeschichtung :</t>
  </si>
  <si>
    <t>Projektleiter MU :</t>
  </si>
  <si>
    <t>Arbeitsscheinwerfer</t>
  </si>
  <si>
    <t>Bedienung vom:</t>
  </si>
  <si>
    <t>Nr.</t>
  </si>
  <si>
    <t>Zubehör</t>
  </si>
  <si>
    <t>Aufbau :</t>
  </si>
  <si>
    <t>Rahmen :</t>
  </si>
  <si>
    <t>Schüttblende Außen :</t>
  </si>
  <si>
    <t>Schüttblende Innen:</t>
  </si>
  <si>
    <t>Schrottkasten :</t>
  </si>
  <si>
    <t>Schränke oben :</t>
  </si>
  <si>
    <t>Schränke unten :</t>
  </si>
  <si>
    <t>Kleiderschrank :</t>
  </si>
  <si>
    <t>Schränke innen :</t>
  </si>
  <si>
    <t>Hat sich das Kabel oder Funklayout geändert?</t>
  </si>
  <si>
    <t>Technische Änderungen</t>
  </si>
  <si>
    <t>Preis in €</t>
  </si>
  <si>
    <t>Kabel oder Funklayout</t>
  </si>
  <si>
    <t>BW</t>
  </si>
  <si>
    <t>Netto Gesamt :</t>
  </si>
  <si>
    <t>Datum:</t>
  </si>
  <si>
    <t>Unterschrift MÜLLER Umwelttechnik</t>
  </si>
  <si>
    <t>Unterschrift Kunde zur Bestätigung und Freigabe</t>
  </si>
  <si>
    <t>TEA</t>
  </si>
  <si>
    <t>KMU</t>
  </si>
  <si>
    <t>Aufbautyp</t>
  </si>
  <si>
    <t>Auftrags- Nr</t>
  </si>
  <si>
    <t>Kunde</t>
  </si>
  <si>
    <t>Vertriebsgebiet</t>
  </si>
  <si>
    <t>Projektleiter MU</t>
  </si>
  <si>
    <t>Netto Gesamt</t>
  </si>
  <si>
    <t>€/TEA</t>
  </si>
  <si>
    <t>Wird Zubehör vom Kunden beigestellt?</t>
  </si>
  <si>
    <t>TEK</t>
  </si>
  <si>
    <t>€/TEK</t>
  </si>
  <si>
    <t>Gesamt</t>
  </si>
  <si>
    <t>Techn. Änderungen</t>
  </si>
  <si>
    <t>Aufbau</t>
  </si>
  <si>
    <t>Schüttblende Außen</t>
  </si>
  <si>
    <t>Schüttblende Innen</t>
  </si>
  <si>
    <t>Klarlackschicht</t>
  </si>
  <si>
    <t>Schrottkasten</t>
  </si>
  <si>
    <t>Zinkstaubbeschichtung</t>
  </si>
  <si>
    <t>Schränke innen</t>
  </si>
  <si>
    <t>Schränke unten</t>
  </si>
  <si>
    <t>Kleiderschrank</t>
  </si>
  <si>
    <t>Behälter- Innenbeschichtung</t>
  </si>
  <si>
    <t>E- Kolbenbeschichtung</t>
  </si>
  <si>
    <t>Zubehör vom Kunden muss beigestellt sein bis</t>
  </si>
  <si>
    <t>Nr.:</t>
  </si>
  <si>
    <t>Typ:</t>
  </si>
  <si>
    <t>Positionierung Fahrzeugbeleuchtung</t>
  </si>
  <si>
    <t>Position:</t>
  </si>
  <si>
    <t>Datum</t>
  </si>
  <si>
    <t>Behälter- Innenbeschichtung :</t>
  </si>
  <si>
    <t>Mehrfarbig</t>
  </si>
  <si>
    <t>unlackiert</t>
  </si>
  <si>
    <t>lackiert</t>
  </si>
  <si>
    <t>gebürstet</t>
  </si>
  <si>
    <t>JA</t>
  </si>
  <si>
    <t>NEIN</t>
  </si>
  <si>
    <t>Blitzbalken</t>
  </si>
  <si>
    <t>3. Rück.-Bremsleuchte</t>
  </si>
  <si>
    <t>Fahrerhaus</t>
  </si>
  <si>
    <t>Bedienstand</t>
  </si>
  <si>
    <t>Pumpenraum</t>
  </si>
  <si>
    <t>Mehrpreis</t>
  </si>
  <si>
    <t>Minderpreis</t>
  </si>
  <si>
    <t>order no.:</t>
  </si>
  <si>
    <t>project manager MU:</t>
  </si>
  <si>
    <t>date:</t>
  </si>
  <si>
    <t>sales region:</t>
  </si>
  <si>
    <t>visitors:</t>
  </si>
  <si>
    <t>body type:</t>
  </si>
  <si>
    <t>customer:</t>
  </si>
  <si>
    <t>laquering and coating</t>
  </si>
  <si>
    <t>subframe:</t>
  </si>
  <si>
    <t>spill tray outside:</t>
  </si>
  <si>
    <t>superstructure:</t>
  </si>
  <si>
    <t>spill tray from top:</t>
  </si>
  <si>
    <t>clear varnish:</t>
  </si>
  <si>
    <t>scrap box:</t>
  </si>
  <si>
    <t>zinc-rich-primer:</t>
  </si>
  <si>
    <t>upper boxes:</t>
  </si>
  <si>
    <t>boxes inside:</t>
  </si>
  <si>
    <t>lower boxes:</t>
  </si>
  <si>
    <t>wardrobe:</t>
  </si>
  <si>
    <t>tank coating:</t>
  </si>
  <si>
    <t>partition coating:</t>
  </si>
  <si>
    <t>sign writing from MU:</t>
  </si>
  <si>
    <t>positioning of lights:</t>
  </si>
  <si>
    <t>no.:</t>
  </si>
  <si>
    <t>type:</t>
  </si>
  <si>
    <t>position:</t>
  </si>
  <si>
    <t>operating position:</t>
  </si>
  <si>
    <t>modifications</t>
  </si>
  <si>
    <t>price in €</t>
  </si>
  <si>
    <t>total amoumt:</t>
  </si>
  <si>
    <t>signature MÜLLER Umwelttechnik</t>
  </si>
  <si>
    <t>signature / confirmation customer</t>
  </si>
  <si>
    <t>multicolored</t>
  </si>
  <si>
    <t>not painted</t>
  </si>
  <si>
    <t>painted</t>
  </si>
  <si>
    <t>brushed</t>
  </si>
  <si>
    <t>yes</t>
  </si>
  <si>
    <t>no</t>
  </si>
  <si>
    <t>cabin</t>
  </si>
  <si>
    <t>operating panel</t>
  </si>
  <si>
    <t>pump room</t>
  </si>
  <si>
    <t>more price</t>
  </si>
  <si>
    <t>less price</t>
  </si>
  <si>
    <r>
      <t xml:space="preserve">I hereby confirm that I have taken note of above mentioned technical changes including additional costs
and confirm with my signature that I recognize </t>
    </r>
    <r>
      <rPr>
        <b/>
        <u/>
        <sz val="10"/>
        <rFont val="Arial"/>
        <family val="2"/>
      </rPr>
      <t>all positions</t>
    </r>
    <r>
      <rPr>
        <sz val="10"/>
        <rFont val="Arial"/>
        <family val="2"/>
      </rPr>
      <t xml:space="preserve"> and release them for
further production of the vehicle.</t>
    </r>
  </si>
  <si>
    <t>pdi report created by:</t>
  </si>
  <si>
    <t>RAP erstellt von:</t>
  </si>
  <si>
    <t>RAP durchgeführt</t>
  </si>
  <si>
    <t xml:space="preserve">Pre delivery inspection report </t>
  </si>
  <si>
    <t>Schrankbeleuchtung</t>
  </si>
  <si>
    <t>Spot Scheinwerfer</t>
  </si>
  <si>
    <t>Rückfahrscheinwerfer</t>
  </si>
  <si>
    <t>Pumpenraumbeleuchtung</t>
  </si>
  <si>
    <t>LED- Lichtleiste</t>
  </si>
  <si>
    <t>Kamerasystem 360°</t>
  </si>
  <si>
    <t>Rückfahrkamerasystem</t>
  </si>
  <si>
    <t>Türkontaktschalter</t>
  </si>
  <si>
    <t>Bewegungsmelder</t>
  </si>
  <si>
    <t>camera system 360°</t>
  </si>
  <si>
    <t>Reihe1
Reihe2</t>
  </si>
  <si>
    <t>Umriss- / Positionsleuchte</t>
  </si>
  <si>
    <t>Standard: Hella LED gelb</t>
  </si>
  <si>
    <t>Standard: Solstice 2"- 15°</t>
  </si>
  <si>
    <t>Standard: Grote eQuad 1200 - (ADR)</t>
  </si>
  <si>
    <t>Standard: LED Heckunterfahrschutz</t>
  </si>
  <si>
    <t>Standard: LED Hintere rot</t>
  </si>
  <si>
    <t>Standard: LED Vordere weiß</t>
  </si>
  <si>
    <t>Standard: LED Hintere rot (NOR / GB)</t>
  </si>
  <si>
    <t>Optional: Solstice 2"- 60°</t>
  </si>
  <si>
    <t>Optional: Hänsch Comet B LED gelb</t>
  </si>
  <si>
    <t>Optional: Hella LED klar</t>
  </si>
  <si>
    <t>Optional: Hella Power Beam 3000</t>
  </si>
  <si>
    <t>Standard: Brigade mit Monitor im FH</t>
  </si>
  <si>
    <t>Standard: LED mit Bewegungsmelder</t>
  </si>
  <si>
    <t>Standard: Brigade 360° mit Monitor im FH</t>
  </si>
  <si>
    <t>Optional: Motec 360° mit Monitor im FH</t>
  </si>
  <si>
    <t>Rückwärtsgang</t>
  </si>
  <si>
    <t>Monitor</t>
  </si>
  <si>
    <t>Optional: Brigade ohne Monitor im FH</t>
  </si>
  <si>
    <t>Optional: Motec mit Monitor im FH</t>
  </si>
  <si>
    <t>Optional: Motec ohne Monitor im FH</t>
  </si>
  <si>
    <t>Front- und Heckblitzer</t>
  </si>
  <si>
    <t>Rundumkennleuchten</t>
  </si>
  <si>
    <t>UF ListBox2
Index</t>
  </si>
  <si>
    <t>Aktuelle
Zeile</t>
  </si>
  <si>
    <t>Formatierung
Zeile</t>
  </si>
  <si>
    <t>UF Grafik
erstellen</t>
  </si>
  <si>
    <t>UF Grafik
Anzahl Copy</t>
  </si>
  <si>
    <t>Grafik Name
Tabelle</t>
  </si>
  <si>
    <t>Grafik Name
Position</t>
  </si>
  <si>
    <t>Aktuelle
Zeile als Text</t>
  </si>
  <si>
    <t>Standard: Hella Frontblitzer schmal</t>
  </si>
  <si>
    <t>monitor</t>
  </si>
  <si>
    <t>reverse gear</t>
  </si>
  <si>
    <t>door contact switch</t>
  </si>
  <si>
    <t>Standard: Aluminiumschiene mit LEDs</t>
  </si>
  <si>
    <t>Optional: Hella LED clear</t>
  </si>
  <si>
    <t>Standard: Hella LED yellow</t>
  </si>
  <si>
    <t>Optional: Hänsch Comet B LED yellow</t>
  </si>
  <si>
    <t>Optional: Brigade without monitor in the cabin</t>
  </si>
  <si>
    <t>Standard: Brigade with monitor in the cabin</t>
  </si>
  <si>
    <t>Optional: Motec with monitor in the cabin</t>
  </si>
  <si>
    <t>Optional: Motec without Monitor in the cabin</t>
  </si>
  <si>
    <t>Standard: LED rear red</t>
  </si>
  <si>
    <t>Standard: LED front white</t>
  </si>
  <si>
    <t>Standard: LED rear red (NOR / GB)</t>
  </si>
  <si>
    <t>cabinet lighting</t>
  </si>
  <si>
    <t>spotlight</t>
  </si>
  <si>
    <t>work lights</t>
  </si>
  <si>
    <t>flashing light</t>
  </si>
  <si>
    <t xml:space="preserve">hazard beacon </t>
  </si>
  <si>
    <t>reversing light</t>
  </si>
  <si>
    <t>pump room lights</t>
  </si>
  <si>
    <t>LED strip lights</t>
  </si>
  <si>
    <t>reversing camera</t>
  </si>
  <si>
    <t>LED marker lights</t>
  </si>
  <si>
    <t>blaze bar</t>
  </si>
  <si>
    <t>3. brake light</t>
  </si>
  <si>
    <t>Standard: LED with motion sensor</t>
  </si>
  <si>
    <t>Standard: Hella flashing light small</t>
  </si>
  <si>
    <t>Standard: aluminium LED strip lights</t>
  </si>
  <si>
    <t>LastRow1</t>
  </si>
  <si>
    <t>X</t>
  </si>
  <si>
    <t>Info</t>
  </si>
  <si>
    <t>info</t>
  </si>
  <si>
    <t>Brigade 360° mit Monitor im FH</t>
  </si>
  <si>
    <t>Hella Power Beam 3000</t>
  </si>
  <si>
    <t>Hella Frontblitzer schmal</t>
  </si>
  <si>
    <t>Hella LED gelb</t>
  </si>
  <si>
    <t>Grote eQuad 1200 - (ADR)</t>
  </si>
  <si>
    <t>modification?</t>
  </si>
  <si>
    <t>Hella flashing light small</t>
  </si>
  <si>
    <t>Hella LED yellow</t>
  </si>
  <si>
    <t>Hella LED clear</t>
  </si>
  <si>
    <t>Hänsch Comet B LED yellow</t>
  </si>
  <si>
    <t>Solstice 2"- 15°</t>
  </si>
  <si>
    <t>Solstice 2"- 60°</t>
  </si>
  <si>
    <t>aluminium LED strip lights</t>
  </si>
  <si>
    <t>Brigade with monitor in the cabin</t>
  </si>
  <si>
    <t>Motec with monitor in the cabin</t>
  </si>
  <si>
    <t>Brigade without monitor in the cabin</t>
  </si>
  <si>
    <t>Motec without Monitor in the cabin</t>
  </si>
  <si>
    <t>LED Heckunterfahrschutz</t>
  </si>
  <si>
    <t>LED rear red</t>
  </si>
  <si>
    <t>LED front white</t>
  </si>
  <si>
    <t>LED rear red (NOR / GB)</t>
  </si>
  <si>
    <t>LED with motion sensor</t>
  </si>
  <si>
    <t>Hella LED klar</t>
  </si>
  <si>
    <t>Hänsch Comet B LED gelb</t>
  </si>
  <si>
    <t>Aluminiumschiene mit LEDs</t>
  </si>
  <si>
    <t>Motec 360° mit Monitor im FH</t>
  </si>
  <si>
    <t>Brigade mit Monitor im FH</t>
  </si>
  <si>
    <t>Brigade ohne Monitor im FH</t>
  </si>
  <si>
    <t>Motec mit Monitor im FH</t>
  </si>
  <si>
    <t>Motec ohne Monitor im FH</t>
  </si>
  <si>
    <t>LED Hintere rot</t>
  </si>
  <si>
    <t>LED Vordere weiß</t>
  </si>
  <si>
    <t>LED Hintere rot (NOR / GB)</t>
  </si>
  <si>
    <t>LED mit Bewegungsmelder</t>
  </si>
  <si>
    <t>layout cable and radio remote control</t>
  </si>
  <si>
    <t>until :</t>
  </si>
  <si>
    <t>motion sensor</t>
  </si>
  <si>
    <t>accessories</t>
  </si>
  <si>
    <t>delivered by customer?</t>
  </si>
  <si>
    <r>
      <t xml:space="preserve">Hiermit bestätige ich, das ich von den enthaltenen Technischen Änderungen einschl. Mehrkosten Kenntnis genommen habe 
und bestätige mit meiner Unterschrift, dass ich </t>
    </r>
    <r>
      <rPr>
        <b/>
        <u/>
        <sz val="10"/>
        <rFont val="Arial"/>
        <family val="2"/>
      </rPr>
      <t>alle Positionen die mit einem "X"</t>
    </r>
    <r>
      <rPr>
        <sz val="10"/>
        <rFont val="Arial"/>
        <family val="2"/>
      </rPr>
      <t xml:space="preserve"> gekennzeichnet sind anerkenne 
und diese für die weitere Produktion des Fahrzeugs freigebe.</t>
    </r>
  </si>
  <si>
    <r>
      <t xml:space="preserve">I hereby confirm that I have taken note of above mentioned technical changes including additional costs
and confirm with my signature that I recognize </t>
    </r>
    <r>
      <rPr>
        <b/>
        <u/>
        <sz val="10"/>
        <rFont val="Arial"/>
        <family val="2"/>
      </rPr>
      <t>all positions marked with an "X"</t>
    </r>
    <r>
      <rPr>
        <sz val="10"/>
        <rFont val="Arial"/>
        <family val="2"/>
      </rPr>
      <t xml:space="preserve"> and release them for
further production of the vehicle.</t>
    </r>
  </si>
  <si>
    <r>
      <t xml:space="preserve">Hiermit bestätige ich, das ich von den enthaltenen Technischen Änderungen einschl. Mehrkosten Kenntnis genommen habe 
und bestätige mit meiner Unterschrift, dass ich </t>
    </r>
    <r>
      <rPr>
        <b/>
        <u/>
        <sz val="10"/>
        <rFont val="Arial"/>
        <family val="2"/>
      </rPr>
      <t xml:space="preserve">alle Positionen </t>
    </r>
    <r>
      <rPr>
        <sz val="10"/>
        <rFont val="Arial"/>
        <family val="2"/>
      </rPr>
      <t>anerkenne
und diese für die weitere Produktion des Fahrzeugs freigebe.</t>
    </r>
  </si>
  <si>
    <t>JA siehe Techn. Änderungen</t>
  </si>
  <si>
    <t>yes see modification</t>
  </si>
  <si>
    <t>siehe Techn. Änderungen</t>
  </si>
  <si>
    <t>see modification</t>
  </si>
  <si>
    <t>LastRow2</t>
  </si>
  <si>
    <t>Kategorie</t>
  </si>
  <si>
    <t>Hersteller / Typ</t>
  </si>
  <si>
    <t>Bedienung vom 1</t>
  </si>
  <si>
    <t>Bedienung vom 2</t>
  </si>
  <si>
    <t>Fahrzeugbeschriftung</t>
  </si>
  <si>
    <t>vehicle labelling</t>
  </si>
  <si>
    <t>standard labelling / MU</t>
  </si>
  <si>
    <t>labelling FL and HC / MU</t>
  </si>
  <si>
    <t>special labelling / MU</t>
  </si>
  <si>
    <t>Kundenspezifische Beschriftung zum Liefertermin :</t>
  </si>
  <si>
    <t>Sonderbeschriftung / MU :</t>
  </si>
  <si>
    <t>Standard Fahrzeugbeschriftung / MU :</t>
  </si>
  <si>
    <t>Fahrzeugbeschriftung FL u. HC / MU :</t>
  </si>
  <si>
    <t xml:space="preserve">Info </t>
  </si>
  <si>
    <t>Fahrzeugbeschriftung :</t>
  </si>
  <si>
    <t>vehicle labelling:</t>
  </si>
  <si>
    <t xml:space="preserve">info </t>
  </si>
  <si>
    <t>MU</t>
  </si>
  <si>
    <t>customer</t>
  </si>
  <si>
    <t>customized labelling to the delivery date</t>
  </si>
  <si>
    <t>Die Bestellung beim Lieferanten erfolgt durch :</t>
  </si>
  <si>
    <t>the order at the supplier is done by</t>
  </si>
  <si>
    <t>the customer's layout must be provided till:</t>
  </si>
  <si>
    <t>Das Layout vom Kunden muss beigestellt sein bis :</t>
  </si>
  <si>
    <t>Das Zubehör vom Kunden muss beigestellt sein bis :</t>
  </si>
  <si>
    <t>Dateityp</t>
  </si>
  <si>
    <t>jpg</t>
  </si>
  <si>
    <t>U:\Bilder_RAP</t>
  </si>
  <si>
    <t>Verzeichnis</t>
  </si>
  <si>
    <t>Verzeichnis_Bilder_RBA</t>
  </si>
  <si>
    <t>Dateityp_Bilder_RBA</t>
  </si>
  <si>
    <t>Siehe Bereich Spalte CA:CB und Zeile 120:172</t>
  </si>
  <si>
    <t>Position</t>
  </si>
  <si>
    <t>Schränke oben</t>
  </si>
  <si>
    <t>Standard Fahrzeugbeschriftung / MU</t>
  </si>
  <si>
    <t>Fahrzeugbeschriftung FL u. HC / MU</t>
  </si>
  <si>
    <t>Sonderbeschriftung / MU</t>
  </si>
  <si>
    <t>Nr</t>
  </si>
  <si>
    <t>Typ</t>
  </si>
  <si>
    <t>Bedienung vom1</t>
  </si>
  <si>
    <t>Bedienung vom2</t>
  </si>
  <si>
    <t>Kundenspezifische Beschriftung zum Liefertermin</t>
  </si>
  <si>
    <t>Die Bestellung beim Lieferanten erfolgt durch</t>
  </si>
  <si>
    <t>Das Layout vom Kunden muss beigestellt sein bis</t>
  </si>
  <si>
    <t>In Fahrerhausfarbe</t>
  </si>
  <si>
    <t>in driver's cab color</t>
  </si>
  <si>
    <t>in cab color</t>
  </si>
  <si>
    <t>aluminium LED- Lichtleiste</t>
  </si>
  <si>
    <t>jschroeder</t>
  </si>
  <si>
    <t>12103800_CM F 110 EWA Eco FL_Berndt, Kesselsdorf</t>
  </si>
  <si>
    <t>Berndt, Kesselsdorf</t>
  </si>
  <si>
    <t>CM F 110 EWA Eco FL</t>
  </si>
  <si>
    <t>U:\2021\12103800_CM F 110 EWA Eco FL_Berndt, Kesselsdorf\Fotos Rohbauabnahme</t>
  </si>
  <si>
    <t>U: \ 2021 \ 12103800_CM F 110 EWA Eco FL_Berndt, Kesselsdorf \ Rohbauabnahme \</t>
  </si>
  <si>
    <t>Y.Schumacher</t>
  </si>
  <si>
    <t>H.Brettmeier</t>
  </si>
  <si>
    <t>D.Schulze</t>
  </si>
  <si>
    <t>Sonderbeschriftung / MU prüfen!</t>
  </si>
  <si>
    <t>Kundenspezifische Beschriftung zum Liefertermin prüfen!</t>
  </si>
  <si>
    <t>Irgendeine Technische Änderung</t>
  </si>
  <si>
    <t xml:space="preserve">$0.00 </t>
  </si>
  <si>
    <t>301_09_fb_rohbauabnahmeprotokoll.xlsm</t>
  </si>
  <si>
    <t>C:\Users\jschroeder\Downloads\301_09_fb_rohbauabnahmeprotokoll.xlsm</t>
  </si>
  <si>
    <t>C:\Users\jschroeder\Downloads\</t>
  </si>
  <si>
    <t>NeueDatei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</si>
</sst>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\(&quot;€&quot;#,##0.00\)"/>
    <numFmt numFmtId="165" formatCode="&quot;€&quot;#,##0.00_);[Red]\(&quot;€&quot;#,##0.00\)"/>
    <numFmt numFmtId="166" formatCode="&quot;€&quot;#,##0_);[Red]\(&quot;€&quot;#,##0\)"/>
    <numFmt numFmtId="167" formatCode="#,##0\ &quot;€&quot;"/>
    <numFmt numFmtId="168" formatCode="0;;;@"/>
    <numFmt numFmtId="169" formatCode="###&quot;.&quot;"/>
    <numFmt numFmtId="170" formatCode="[$-F400]h:mm:ss\ AM/PM"/>
    <numFmt numFmtId="171" formatCode="h:mm:ss;@"/>
    <numFmt numFmtId="172" formatCode="#,##0.00\ _€;[Red]\-#,##0.00\ _€"/>
    <numFmt numFmtId="173" formatCode="#,##0.00\ &quot;€&quot;;[Red]\-\ #,##0.00\ &quot;€&quot;"/>
    <numFmt numFmtId="174" formatCode="#.##00\ \€;[Red]\-\ #.##00\ \€"/>
  </numFmts>
  <fonts count="46" x14ac:knownFonts="1">
    <font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u/>
      <sz val="10"/>
      <color theme="10"/>
      <name val="Arial"/>
      <family val="2"/>
    </font>
    <font>
      <b/>
      <sz val="11"/>
      <color rgb="FF007CB0"/>
      <name val="Arial"/>
      <family val="2"/>
    </font>
    <font>
      <sz val="11"/>
      <color rgb="FF007CB0"/>
      <name val="Arial"/>
      <family val="2"/>
    </font>
    <font>
      <sz val="11"/>
      <color rgb="FFFF0000"/>
      <name val="Arial"/>
      <family val="2"/>
    </font>
    <font>
      <sz val="10"/>
      <color rgb="FF007CB0"/>
      <name val="Arial"/>
      <family val="2"/>
    </font>
    <font>
      <b/>
      <sz val="9"/>
      <color rgb="FF007CB0"/>
      <name val="Arial"/>
      <family val="2"/>
    </font>
    <font>
      <sz val="11"/>
      <name val="Calibri"/>
      <family val="2"/>
    </font>
    <font>
      <b/>
      <sz val="11"/>
      <color theme="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9"/>
      <color rgb="FF007CB0"/>
      <name val="Arial"/>
      <family val="2"/>
    </font>
    <font>
      <sz val="6"/>
      <color rgb="FF007CB0"/>
      <name val="Arial"/>
      <family val="2"/>
    </font>
    <font>
      <sz val="10"/>
      <name val="Arial"/>
      <family val="2"/>
    </font>
    <font>
      <b/>
      <sz val="10"/>
      <color rgb="FF007CB0"/>
      <name val="Arial"/>
      <family val="2"/>
    </font>
    <font>
      <sz val="11"/>
      <color theme="0"/>
      <name val="Arial"/>
      <family val="2"/>
    </font>
    <font>
      <sz val="6"/>
      <name val="Arial"/>
      <family val="2"/>
    </font>
    <font>
      <sz val="8"/>
      <color theme="0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9"/>
      <color theme="0"/>
      <name val="Arial"/>
      <family val="2"/>
    </font>
    <font>
      <sz val="8"/>
      <color rgb="FF666666"/>
      <name val="Arial"/>
      <family val="2"/>
    </font>
    <font>
      <sz val="9"/>
      <color rgb="FF666666"/>
      <name val="Arial"/>
      <family val="2"/>
    </font>
    <font>
      <sz val="10"/>
      <color rgb="FF666666"/>
      <name val="Arial"/>
      <family val="2"/>
    </font>
    <font>
      <sz val="12"/>
      <color rgb="FF007CB0"/>
      <name val="Arial"/>
      <family val="2"/>
    </font>
    <font>
      <b/>
      <sz val="8"/>
      <name val="Arial"/>
      <family val="2"/>
    </font>
    <font>
      <sz val="6"/>
      <color rgb="FF666666"/>
      <name val="Arial"/>
      <family val="2"/>
    </font>
    <font>
      <b/>
      <sz val="8"/>
      <color rgb="FF666666"/>
      <name val="Arial"/>
      <family val="2"/>
    </font>
    <font>
      <b/>
      <sz val="12"/>
      <color rgb="FF666666"/>
      <name val="Arial"/>
      <family val="2"/>
    </font>
    <font>
      <b/>
      <sz val="10"/>
      <color rgb="FF666666"/>
      <name val="Arial"/>
      <family val="2"/>
    </font>
    <font>
      <b/>
      <sz val="10"/>
      <color theme="0" tint="-0.249977111117893"/>
      <name val="Arial"/>
      <family val="2"/>
    </font>
    <font>
      <b/>
      <sz val="22"/>
      <name val="Arial"/>
      <family val="2"/>
    </font>
    <font>
      <sz val="3"/>
      <color theme="0"/>
      <name val="Arial"/>
      <family val="2"/>
    </font>
    <font>
      <sz val="5"/>
      <color theme="0"/>
      <name val="Arial"/>
      <family val="2"/>
    </font>
    <font>
      <sz val="10"/>
      <color theme="0" tint="-4.9989318521683403E-2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79">
    <xf numFmtId="0" fontId="0" fillId="0" borderId="0" xfId="0"/>
    <xf numFmtId="0" fontId="0" fillId="0" borderId="0" xfId="0" applyAlignment="1">
      <alignment horizontal="left"/>
    </xf>
    <xf numFmtId="166" fontId="0" fillId="0" borderId="0" xfId="0" applyNumberFormat="1" applyAlignment="1">
      <alignment horizontal="left"/>
    </xf>
    <xf numFmtId="168" fontId="0" fillId="0" borderId="0" xfId="0" applyNumberForma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68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left"/>
    </xf>
    <xf numFmtId="0" fontId="0" fillId="0" borderId="0" xfId="0" applyProtection="1">
      <protection hidden="1"/>
    </xf>
    <xf numFmtId="165" fontId="14" fillId="2" borderId="6" xfId="0" applyNumberFormat="1" applyFont="1" applyFill="1" applyBorder="1" applyAlignment="1" applyProtection="1">
      <alignment horizontal="center" vertical="center"/>
      <protection hidden="1"/>
    </xf>
    <xf numFmtId="165" fontId="1" fillId="0" borderId="0" xfId="0" applyNumberFormat="1" applyFont="1" applyProtection="1">
      <protection hidden="1"/>
    </xf>
    <xf numFmtId="165" fontId="2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0" fontId="14" fillId="0" borderId="0" xfId="0" applyFont="1" applyAlignment="1">
      <alignment horizontal="left"/>
    </xf>
    <xf numFmtId="0" fontId="14" fillId="0" borderId="0" xfId="0" applyFont="1"/>
    <xf numFmtId="165" fontId="14" fillId="2" borderId="8" xfId="0" applyNumberFormat="1" applyFont="1" applyFill="1" applyBorder="1" applyAlignment="1" applyProtection="1">
      <alignment vertical="center"/>
      <protection hidden="1"/>
    </xf>
    <xf numFmtId="165" fontId="14" fillId="2" borderId="1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right" vertical="center"/>
    </xf>
    <xf numFmtId="165" fontId="14" fillId="2" borderId="7" xfId="0" applyNumberFormat="1" applyFont="1" applyFill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4" fillId="0" borderId="5" xfId="0" applyFont="1" applyBorder="1" applyProtection="1">
      <protection hidden="1"/>
    </xf>
    <xf numFmtId="0" fontId="4" fillId="0" borderId="0" xfId="1" applyFont="1" applyBorder="1" applyAlignment="1" applyProtection="1">
      <protection hidden="1"/>
    </xf>
    <xf numFmtId="0" fontId="4" fillId="0" borderId="2" xfId="1" applyFont="1" applyBorder="1" applyAlignment="1" applyProtection="1">
      <alignment vertical="top"/>
      <protection hidden="1"/>
    </xf>
    <xf numFmtId="0" fontId="4" fillId="0" borderId="0" xfId="1" applyFont="1" applyBorder="1" applyAlignment="1" applyProtection="1">
      <alignment vertical="top"/>
      <protection hidden="1"/>
    </xf>
    <xf numFmtId="0" fontId="4" fillId="0" borderId="2" xfId="1" applyFont="1" applyBorder="1" applyAlignment="1" applyProtection="1"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0" fontId="8" fillId="0" borderId="0" xfId="0" applyFont="1" applyProtection="1">
      <protection hidden="1"/>
    </xf>
    <xf numFmtId="14" fontId="4" fillId="0" borderId="5" xfId="0" applyNumberFormat="1" applyFont="1" applyBorder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5" fillId="0" borderId="2" xfId="1" applyFont="1" applyBorder="1" applyAlignment="1" applyProtection="1">
      <alignment horizontal="left" vertical="center"/>
      <protection hidden="1"/>
    </xf>
    <xf numFmtId="0" fontId="5" fillId="0" borderId="0" xfId="1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5" fillId="0" borderId="3" xfId="1" applyFont="1" applyBorder="1" applyAlignment="1" applyProtection="1">
      <alignment horizontal="left" vertical="center"/>
      <protection hidden="1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horizontal="left"/>
      <protection hidden="1"/>
    </xf>
    <xf numFmtId="0" fontId="3" fillId="0" borderId="7" xfId="1" applyFont="1" applyBorder="1" applyAlignment="1" applyProtection="1">
      <alignment vertical="center"/>
      <protection hidden="1"/>
    </xf>
    <xf numFmtId="0" fontId="18" fillId="0" borderId="8" xfId="0" applyFont="1" applyBorder="1" applyAlignment="1" applyProtection="1">
      <alignment vertical="center" wrapText="1"/>
      <protection hidden="1"/>
    </xf>
    <xf numFmtId="0" fontId="1" fillId="0" borderId="8" xfId="0" applyFont="1" applyBorder="1" applyProtection="1">
      <protection hidden="1"/>
    </xf>
    <xf numFmtId="0" fontId="1" fillId="0" borderId="1" xfId="0" applyFont="1" applyBorder="1" applyProtection="1">
      <protection hidden="1"/>
    </xf>
    <xf numFmtId="49" fontId="9" fillId="0" borderId="5" xfId="1" applyNumberFormat="1" applyFont="1" applyBorder="1" applyAlignment="1" applyProtection="1">
      <alignment vertical="center"/>
      <protection hidden="1"/>
    </xf>
    <xf numFmtId="169" fontId="18" fillId="0" borderId="6" xfId="1" applyNumberFormat="1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165" fontId="4" fillId="0" borderId="0" xfId="0" applyNumberFormat="1" applyFont="1" applyProtection="1">
      <protection hidden="1"/>
    </xf>
    <xf numFmtId="0" fontId="17" fillId="0" borderId="0" xfId="0" applyFont="1" applyAlignment="1" applyProtection="1">
      <alignment vertical="center"/>
      <protection hidden="1"/>
    </xf>
    <xf numFmtId="165" fontId="2" fillId="0" borderId="0" xfId="0" applyNumberFormat="1" applyFont="1" applyAlignment="1" applyProtection="1">
      <alignment horizontal="right" vertical="center"/>
      <protection hidden="1"/>
    </xf>
    <xf numFmtId="0" fontId="16" fillId="0" borderId="0" xfId="0" applyFont="1" applyProtection="1">
      <protection hidden="1"/>
    </xf>
    <xf numFmtId="0" fontId="24" fillId="0" borderId="0" xfId="0" applyFont="1" applyProtection="1">
      <protection hidden="1"/>
    </xf>
    <xf numFmtId="0" fontId="25" fillId="0" borderId="0" xfId="0" applyFont="1" applyAlignment="1">
      <alignment horizontal="left"/>
    </xf>
    <xf numFmtId="0" fontId="25" fillId="0" borderId="0" xfId="0" applyFont="1"/>
    <xf numFmtId="0" fontId="26" fillId="0" borderId="0" xfId="0" applyFont="1"/>
    <xf numFmtId="165" fontId="10" fillId="0" borderId="0" xfId="0" applyNumberFormat="1" applyFont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9" fontId="16" fillId="4" borderId="6" xfId="1" applyNumberFormat="1" applyFont="1" applyFill="1" applyBorder="1" applyAlignment="1" applyProtection="1">
      <alignment horizontal="center" vertical="center"/>
      <protection hidden="1"/>
    </xf>
    <xf numFmtId="0" fontId="24" fillId="0" borderId="0" xfId="1" applyNumberFormat="1" applyFont="1" applyFill="1" applyBorder="1" applyAlignment="1" applyProtection="1">
      <alignment vertical="center"/>
      <protection hidden="1"/>
    </xf>
    <xf numFmtId="14" fontId="21" fillId="0" borderId="0" xfId="0" applyNumberFormat="1" applyFont="1" applyProtection="1">
      <protection locked="0" hidden="1"/>
    </xf>
    <xf numFmtId="14" fontId="21" fillId="0" borderId="2" xfId="0" applyNumberFormat="1" applyFont="1" applyBorder="1" applyProtection="1">
      <protection locked="0" hidden="1"/>
    </xf>
    <xf numFmtId="0" fontId="24" fillId="5" borderId="0" xfId="0" applyFont="1" applyFill="1" applyAlignment="1" applyProtection="1">
      <alignment horizontal="left" vertical="center"/>
      <protection hidden="1"/>
    </xf>
    <xf numFmtId="0" fontId="0" fillId="0" borderId="19" xfId="0" applyBorder="1" applyAlignment="1">
      <alignment horizontal="left"/>
    </xf>
    <xf numFmtId="0" fontId="0" fillId="0" borderId="16" xfId="0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165" fontId="16" fillId="0" borderId="0" xfId="0" applyNumberFormat="1" applyFont="1" applyProtection="1">
      <protection hidden="1"/>
    </xf>
    <xf numFmtId="165" fontId="0" fillId="5" borderId="0" xfId="0" applyNumberFormat="1" applyFill="1" applyProtection="1">
      <protection hidden="1"/>
    </xf>
    <xf numFmtId="165" fontId="1" fillId="5" borderId="0" xfId="0" applyNumberFormat="1" applyFont="1" applyFill="1" applyProtection="1">
      <protection hidden="1"/>
    </xf>
    <xf numFmtId="165" fontId="23" fillId="5" borderId="0" xfId="0" applyNumberFormat="1" applyFont="1" applyFill="1" applyAlignment="1" applyProtection="1">
      <alignment wrapText="1"/>
      <protection hidden="1"/>
    </xf>
    <xf numFmtId="165" fontId="1" fillId="5" borderId="0" xfId="0" applyNumberFormat="1" applyFont="1" applyFill="1" applyAlignment="1" applyProtection="1">
      <alignment horizontal="center" vertical="center"/>
      <protection hidden="1"/>
    </xf>
    <xf numFmtId="165" fontId="14" fillId="2" borderId="1" xfId="0" applyNumberFormat="1" applyFont="1" applyFill="1" applyBorder="1" applyAlignment="1" applyProtection="1">
      <alignment horizontal="center" vertical="center"/>
      <protection hidden="1"/>
    </xf>
    <xf numFmtId="165" fontId="30" fillId="5" borderId="0" xfId="0" applyNumberFormat="1" applyFont="1" applyFill="1" applyProtection="1">
      <protection hidden="1"/>
    </xf>
    <xf numFmtId="165" fontId="28" fillId="5" borderId="0" xfId="0" applyNumberFormat="1" applyFont="1" applyFill="1" applyAlignment="1" applyProtection="1">
      <alignment horizontal="center"/>
      <protection hidden="1"/>
    </xf>
    <xf numFmtId="165" fontId="28" fillId="5" borderId="0" xfId="0" applyNumberFormat="1" applyFont="1" applyFill="1" applyProtection="1">
      <protection hidden="1"/>
    </xf>
    <xf numFmtId="165" fontId="4" fillId="0" borderId="0" xfId="1" applyNumberFormat="1" applyFont="1" applyBorder="1" applyAlignment="1" applyProtection="1">
      <protection hidden="1"/>
    </xf>
    <xf numFmtId="0" fontId="1" fillId="5" borderId="0" xfId="0" applyFont="1" applyFill="1" applyProtection="1">
      <protection hidden="1"/>
    </xf>
    <xf numFmtId="0" fontId="23" fillId="5" borderId="0" xfId="0" applyFont="1" applyFill="1" applyAlignment="1" applyProtection="1">
      <alignment wrapText="1"/>
      <protection hidden="1"/>
    </xf>
    <xf numFmtId="0" fontId="32" fillId="5" borderId="0" xfId="0" applyFont="1" applyFill="1" applyAlignment="1" applyProtection="1">
      <alignment horizontal="center" vertical="center"/>
      <protection hidden="1"/>
    </xf>
    <xf numFmtId="0" fontId="28" fillId="5" borderId="0" xfId="0" applyFont="1" applyFill="1" applyProtection="1">
      <protection hidden="1"/>
    </xf>
    <xf numFmtId="0" fontId="28" fillId="5" borderId="0" xfId="0" applyFont="1" applyFill="1" applyAlignment="1" applyProtection="1">
      <alignment horizontal="center"/>
      <protection hidden="1"/>
    </xf>
    <xf numFmtId="165" fontId="30" fillId="5" borderId="0" xfId="0" applyNumberFormat="1" applyFont="1" applyFill="1" applyAlignment="1" applyProtection="1">
      <alignment horizontal="center"/>
      <protection hidden="1"/>
    </xf>
    <xf numFmtId="165" fontId="28" fillId="5" borderId="0" xfId="0" applyNumberFormat="1" applyFont="1" applyFill="1" applyAlignment="1" applyProtection="1">
      <alignment horizontal="center" vertical="center"/>
      <protection hidden="1"/>
    </xf>
    <xf numFmtId="0" fontId="28" fillId="5" borderId="0" xfId="0" applyFont="1" applyFill="1" applyAlignment="1" applyProtection="1">
      <alignment wrapText="1"/>
      <protection hidden="1"/>
    </xf>
    <xf numFmtId="0" fontId="33" fillId="5" borderId="0" xfId="0" applyFont="1" applyFill="1" applyAlignment="1" applyProtection="1">
      <alignment wrapText="1"/>
      <protection hidden="1"/>
    </xf>
    <xf numFmtId="0" fontId="28" fillId="5" borderId="0" xfId="0" applyFont="1" applyFill="1" applyAlignment="1" applyProtection="1">
      <alignment horizontal="center" vertical="center"/>
      <protection hidden="1"/>
    </xf>
    <xf numFmtId="0" fontId="29" fillId="5" borderId="0" xfId="0" applyFont="1" applyFill="1" applyAlignment="1" applyProtection="1">
      <alignment horizontal="center" vertical="center" wrapText="1"/>
      <protection hidden="1"/>
    </xf>
    <xf numFmtId="0" fontId="34" fillId="5" borderId="0" xfId="0" applyFont="1" applyFill="1" applyProtection="1">
      <protection hidden="1"/>
    </xf>
    <xf numFmtId="165" fontId="28" fillId="5" borderId="0" xfId="0" applyNumberFormat="1" applyFont="1" applyFill="1" applyAlignment="1" applyProtection="1">
      <alignment horizontal="center" wrapText="1"/>
      <protection hidden="1"/>
    </xf>
    <xf numFmtId="165" fontId="34" fillId="5" borderId="0" xfId="0" applyNumberFormat="1" applyFont="1" applyFill="1" applyAlignment="1" applyProtection="1">
      <alignment vertical="center"/>
      <protection hidden="1"/>
    </xf>
    <xf numFmtId="165" fontId="35" fillId="5" borderId="0" xfId="0" applyNumberFormat="1" applyFont="1" applyFill="1" applyAlignment="1" applyProtection="1">
      <alignment vertical="center"/>
      <protection hidden="1"/>
    </xf>
    <xf numFmtId="165" fontId="36" fillId="5" borderId="0" xfId="0" applyNumberFormat="1" applyFont="1" applyFill="1" applyProtection="1">
      <protection hidden="1"/>
    </xf>
    <xf numFmtId="0" fontId="0" fillId="0" borderId="0" xfId="0" applyAlignment="1">
      <alignment horizontal="left" vertical="center"/>
    </xf>
    <xf numFmtId="0" fontId="24" fillId="5" borderId="0" xfId="0" applyFont="1" applyFill="1" applyAlignment="1" applyProtection="1">
      <alignment horizontal="left" vertical="center" wrapText="1"/>
      <protection hidden="1"/>
    </xf>
    <xf numFmtId="165" fontId="24" fillId="5" borderId="0" xfId="0" applyNumberFormat="1" applyFont="1" applyFill="1" applyProtection="1">
      <protection hidden="1"/>
    </xf>
    <xf numFmtId="168" fontId="12" fillId="0" borderId="0" xfId="0" applyNumberFormat="1" applyFont="1" applyAlignment="1">
      <alignment horizontal="left" vertical="center"/>
    </xf>
    <xf numFmtId="16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1" xfId="0" applyFont="1" applyBorder="1" applyAlignment="1" applyProtection="1">
      <alignment vertical="center"/>
      <protection hidden="1"/>
    </xf>
    <xf numFmtId="165" fontId="1" fillId="5" borderId="0" xfId="0" applyNumberFormat="1" applyFont="1" applyFill="1" applyProtection="1">
      <protection locked="0"/>
    </xf>
    <xf numFmtId="165" fontId="28" fillId="5" borderId="0" xfId="0" applyNumberFormat="1" applyFont="1" applyFill="1" applyAlignment="1" applyProtection="1">
      <alignment horizontal="center"/>
      <protection locked="0"/>
    </xf>
    <xf numFmtId="165" fontId="28" fillId="5" borderId="0" xfId="0" applyNumberFormat="1" applyFont="1" applyFill="1" applyProtection="1">
      <protection locked="0"/>
    </xf>
    <xf numFmtId="0" fontId="1" fillId="5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0" fillId="0" borderId="16" xfId="0" applyBorder="1" applyAlignment="1">
      <alignment horizontal="left" vertical="top" wrapText="1"/>
    </xf>
    <xf numFmtId="0" fontId="4" fillId="0" borderId="8" xfId="0" applyFont="1" applyBorder="1" applyProtection="1">
      <protection hidden="1"/>
    </xf>
    <xf numFmtId="0" fontId="5" fillId="0" borderId="8" xfId="0" applyFont="1" applyBorder="1" applyAlignment="1" applyProtection="1">
      <alignment vertical="center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4" fillId="0" borderId="2" xfId="1" applyFont="1" applyFill="1" applyBorder="1" applyAlignment="1" applyProtection="1">
      <alignment vertical="center"/>
      <protection hidden="1"/>
    </xf>
    <xf numFmtId="0" fontId="5" fillId="0" borderId="2" xfId="1" applyFont="1" applyFill="1" applyBorder="1" applyAlignment="1" applyProtection="1">
      <alignment horizontal="left" vertical="center"/>
      <protection hidden="1"/>
    </xf>
    <xf numFmtId="0" fontId="5" fillId="0" borderId="0" xfId="1" applyFont="1" applyFill="1" applyBorder="1" applyAlignment="1" applyProtection="1">
      <alignment horizontal="left" vertical="center"/>
      <protection hidden="1"/>
    </xf>
    <xf numFmtId="0" fontId="5" fillId="0" borderId="3" xfId="1" applyFont="1" applyFill="1" applyBorder="1" applyAlignment="1" applyProtection="1">
      <alignment horizontal="left" vertical="center"/>
      <protection hidden="1"/>
    </xf>
    <xf numFmtId="0" fontId="5" fillId="0" borderId="4" xfId="1" applyFont="1" applyFill="1" applyBorder="1" applyAlignment="1" applyProtection="1">
      <alignment horizontal="left" vertical="center"/>
      <protection hidden="1"/>
    </xf>
    <xf numFmtId="0" fontId="4" fillId="0" borderId="7" xfId="1" applyFont="1" applyFill="1" applyBorder="1" applyAlignment="1" applyProtection="1">
      <alignment vertical="center"/>
      <protection hidden="1"/>
    </xf>
    <xf numFmtId="0" fontId="0" fillId="0" borderId="16" xfId="0" applyBorder="1" applyAlignment="1">
      <alignment horizontal="left" wrapText="1"/>
    </xf>
    <xf numFmtId="0" fontId="4" fillId="0" borderId="17" xfId="0" applyFont="1" applyBorder="1" applyProtection="1">
      <protection hidden="1"/>
    </xf>
    <xf numFmtId="0" fontId="4" fillId="0" borderId="18" xfId="0" applyFont="1" applyBorder="1" applyProtection="1">
      <protection hidden="1"/>
    </xf>
    <xf numFmtId="0" fontId="4" fillId="0" borderId="3" xfId="1" applyFont="1" applyFill="1" applyBorder="1" applyAlignment="1" applyProtection="1">
      <alignment vertical="center"/>
      <protection hidden="1"/>
    </xf>
    <xf numFmtId="0" fontId="5" fillId="0" borderId="4" xfId="0" applyFont="1" applyBorder="1" applyAlignment="1" applyProtection="1">
      <alignment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4" fillId="0" borderId="4" xfId="0" applyFont="1" applyBorder="1" applyProtection="1">
      <protection hidden="1"/>
    </xf>
    <xf numFmtId="0" fontId="4" fillId="0" borderId="1" xfId="0" applyFont="1" applyBorder="1" applyProtection="1">
      <protection hidden="1"/>
    </xf>
    <xf numFmtId="165" fontId="0" fillId="0" borderId="0" xfId="0" applyNumberFormat="1" applyAlignment="1" applyProtection="1">
      <alignment vertical="center" wrapText="1"/>
      <protection locked="0" hidden="1"/>
    </xf>
    <xf numFmtId="0" fontId="0" fillId="0" borderId="2" xfId="0" applyBorder="1" applyAlignment="1">
      <alignment vertical="top" wrapText="1"/>
    </xf>
    <xf numFmtId="0" fontId="0" fillId="0" borderId="11" xfId="0" applyBorder="1" applyAlignment="1" applyProtection="1">
      <alignment vertical="top" wrapText="1"/>
      <protection hidden="1"/>
    </xf>
    <xf numFmtId="0" fontId="14" fillId="0" borderId="0" xfId="1" applyNumberFormat="1" applyFont="1" applyBorder="1" applyAlignment="1" applyProtection="1">
      <alignment vertical="top" wrapText="1"/>
      <protection hidden="1"/>
    </xf>
    <xf numFmtId="0" fontId="14" fillId="0" borderId="2" xfId="1" applyNumberFormat="1" applyFont="1" applyBorder="1" applyAlignment="1" applyProtection="1">
      <alignment vertical="top"/>
      <protection hidden="1"/>
    </xf>
    <xf numFmtId="0" fontId="14" fillId="0" borderId="2" xfId="1" applyNumberFormat="1" applyFont="1" applyFill="1" applyBorder="1" applyAlignment="1" applyProtection="1">
      <alignment vertical="top"/>
      <protection hidden="1"/>
    </xf>
    <xf numFmtId="0" fontId="14" fillId="0" borderId="0" xfId="1" applyNumberFormat="1" applyFont="1" applyFill="1" applyBorder="1" applyAlignment="1" applyProtection="1">
      <alignment vertical="top"/>
      <protection hidden="1"/>
    </xf>
    <xf numFmtId="0" fontId="14" fillId="0" borderId="10" xfId="1" applyNumberFormat="1" applyFont="1" applyBorder="1" applyAlignment="1" applyProtection="1">
      <alignment vertical="top"/>
      <protection hidden="1"/>
    </xf>
    <xf numFmtId="0" fontId="5" fillId="0" borderId="18" xfId="1" applyFont="1" applyBorder="1" applyAlignment="1" applyProtection="1">
      <alignment horizontal="left" vertical="center"/>
      <protection hidden="1"/>
    </xf>
    <xf numFmtId="0" fontId="14" fillId="2" borderId="7" xfId="1" applyFont="1" applyFill="1" applyBorder="1" applyAlignment="1" applyProtection="1">
      <alignment vertical="center"/>
      <protection hidden="1"/>
    </xf>
    <xf numFmtId="0" fontId="14" fillId="2" borderId="8" xfId="1" applyFont="1" applyFill="1" applyBorder="1" applyAlignment="1" applyProtection="1">
      <alignment vertical="center"/>
      <protection hidden="1"/>
    </xf>
    <xf numFmtId="0" fontId="4" fillId="0" borderId="2" xfId="0" applyFont="1" applyBorder="1" applyProtection="1">
      <protection hidden="1"/>
    </xf>
    <xf numFmtId="0" fontId="4" fillId="0" borderId="0" xfId="0" applyFont="1" applyAlignment="1" applyProtection="1">
      <alignment vertical="center"/>
      <protection hidden="1"/>
    </xf>
    <xf numFmtId="165" fontId="0" fillId="0" borderId="10" xfId="0" applyNumberFormat="1" applyBorder="1" applyAlignment="1" applyProtection="1">
      <alignment vertical="center" wrapText="1"/>
      <protection locked="0" hidden="1"/>
    </xf>
    <xf numFmtId="0" fontId="5" fillId="0" borderId="7" xfId="0" applyFont="1" applyBorder="1" applyAlignment="1" applyProtection="1">
      <alignment vertical="center"/>
      <protection hidden="1"/>
    </xf>
    <xf numFmtId="14" fontId="21" fillId="0" borderId="2" xfId="0" quotePrefix="1" applyNumberFormat="1" applyFont="1" applyBorder="1" applyProtection="1">
      <protection hidden="1"/>
    </xf>
    <xf numFmtId="14" fontId="21" fillId="0" borderId="0" xfId="0" quotePrefix="1" applyNumberFormat="1" applyFont="1" applyProtection="1">
      <protection hidden="1"/>
    </xf>
    <xf numFmtId="14" fontId="21" fillId="0" borderId="5" xfId="0" quotePrefix="1" applyNumberFormat="1" applyFont="1" applyBorder="1" applyProtection="1">
      <protection hidden="1"/>
    </xf>
    <xf numFmtId="0" fontId="24" fillId="0" borderId="0" xfId="1" applyFont="1" applyBorder="1" applyAlignment="1" applyProtection="1">
      <alignment horizontal="center" vertical="center"/>
      <protection hidden="1"/>
    </xf>
    <xf numFmtId="165" fontId="0" fillId="0" borderId="11" xfId="0" applyNumberFormat="1" applyBorder="1" applyAlignment="1" applyProtection="1">
      <alignment vertical="center" wrapText="1"/>
      <protection locked="0" hidden="1"/>
    </xf>
    <xf numFmtId="165" fontId="0" fillId="0" borderId="17" xfId="0" applyNumberFormat="1" applyBorder="1" applyAlignment="1" applyProtection="1">
      <alignment vertical="center" wrapText="1"/>
      <protection locked="0" hidden="1"/>
    </xf>
    <xf numFmtId="165" fontId="0" fillId="0" borderId="2" xfId="0" applyNumberFormat="1" applyBorder="1" applyAlignment="1" applyProtection="1">
      <alignment vertical="center" wrapText="1"/>
      <protection locked="0" hidden="1"/>
    </xf>
    <xf numFmtId="165" fontId="0" fillId="0" borderId="5" xfId="0" applyNumberFormat="1" applyBorder="1" applyAlignment="1" applyProtection="1">
      <alignment vertical="center" wrapText="1"/>
      <protection locked="0" hidden="1"/>
    </xf>
    <xf numFmtId="165" fontId="0" fillId="0" borderId="3" xfId="0" applyNumberFormat="1" applyBorder="1" applyAlignment="1" applyProtection="1">
      <alignment vertical="center" wrapText="1"/>
      <protection locked="0" hidden="1"/>
    </xf>
    <xf numFmtId="165" fontId="0" fillId="0" borderId="4" xfId="0" applyNumberFormat="1" applyBorder="1" applyAlignment="1" applyProtection="1">
      <alignment vertical="center" wrapText="1"/>
      <protection locked="0" hidden="1"/>
    </xf>
    <xf numFmtId="165" fontId="0" fillId="0" borderId="18" xfId="0" applyNumberFormat="1" applyBorder="1" applyAlignment="1" applyProtection="1">
      <alignment vertical="center" wrapText="1"/>
      <protection locked="0" hidden="1"/>
    </xf>
    <xf numFmtId="0" fontId="0" fillId="0" borderId="11" xfId="0" applyBorder="1" applyAlignment="1" applyProtection="1">
      <alignment vertical="top" wrapText="1"/>
      <protection locked="0" hidden="1"/>
    </xf>
    <xf numFmtId="165" fontId="1" fillId="5" borderId="0" xfId="0" applyNumberFormat="1" applyFont="1" applyFill="1" applyProtection="1">
      <protection locked="0" hidden="1"/>
    </xf>
    <xf numFmtId="165" fontId="28" fillId="5" borderId="0" xfId="0" applyNumberFormat="1" applyFont="1" applyFill="1" applyAlignment="1" applyProtection="1">
      <alignment horizontal="center"/>
      <protection locked="0" hidden="1"/>
    </xf>
    <xf numFmtId="165" fontId="28" fillId="5" borderId="0" xfId="0" applyNumberFormat="1" applyFont="1" applyFill="1" applyAlignment="1" applyProtection="1">
      <alignment horizontal="center" vertical="center"/>
      <protection locked="0" hidden="1"/>
    </xf>
    <xf numFmtId="165" fontId="28" fillId="5" borderId="0" xfId="0" applyNumberFormat="1" applyFont="1" applyFill="1" applyProtection="1">
      <protection locked="0" hidden="1"/>
    </xf>
    <xf numFmtId="0" fontId="1" fillId="5" borderId="0" xfId="0" applyFont="1" applyFill="1" applyProtection="1">
      <protection locked="0" hidden="1"/>
    </xf>
    <xf numFmtId="0" fontId="1" fillId="0" borderId="0" xfId="0" applyFont="1" applyProtection="1"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left" vertical="center"/>
      <protection locked="0" hidden="1"/>
    </xf>
    <xf numFmtId="165" fontId="0" fillId="0" borderId="0" xfId="0" applyNumberFormat="1" applyAlignment="1" applyProtection="1">
      <alignment horizontal="left" wrapText="1"/>
      <protection locked="0" hidden="1"/>
    </xf>
    <xf numFmtId="165" fontId="0" fillId="0" borderId="0" xfId="0" applyNumberFormat="1" applyAlignment="1" applyProtection="1">
      <alignment wrapText="1"/>
      <protection locked="0" hidden="1"/>
    </xf>
    <xf numFmtId="0" fontId="0" fillId="0" borderId="0" xfId="0" applyAlignment="1">
      <alignment vertical="top" wrapText="1"/>
    </xf>
    <xf numFmtId="49" fontId="9" fillId="0" borderId="0" xfId="1" applyNumberFormat="1" applyFont="1" applyBorder="1" applyAlignment="1" applyProtection="1">
      <alignment vertical="center"/>
      <protection hidden="1"/>
    </xf>
    <xf numFmtId="49" fontId="9" fillId="0" borderId="0" xfId="1" applyNumberFormat="1" applyFont="1" applyFill="1" applyBorder="1" applyAlignment="1" applyProtection="1">
      <alignment vertical="center"/>
      <protection hidden="1"/>
    </xf>
    <xf numFmtId="0" fontId="14" fillId="2" borderId="6" xfId="1" applyFont="1" applyFill="1" applyBorder="1" applyAlignment="1" applyProtection="1">
      <alignment vertical="center"/>
      <protection hidden="1"/>
    </xf>
    <xf numFmtId="14" fontId="21" fillId="0" borderId="10" xfId="0" quotePrefix="1" applyNumberFormat="1" applyFont="1" applyBorder="1" applyProtection="1">
      <protection hidden="1"/>
    </xf>
    <xf numFmtId="14" fontId="21" fillId="0" borderId="17" xfId="0" quotePrefix="1" applyNumberFormat="1" applyFont="1" applyBorder="1" applyProtection="1">
      <protection hidden="1"/>
    </xf>
    <xf numFmtId="14" fontId="21" fillId="0" borderId="11" xfId="0" quotePrefix="1" applyNumberFormat="1" applyFont="1" applyBorder="1" applyProtection="1">
      <protection hidden="1"/>
    </xf>
    <xf numFmtId="14" fontId="21" fillId="0" borderId="3" xfId="0" quotePrefix="1" applyNumberFormat="1" applyFont="1" applyBorder="1" applyProtection="1">
      <protection hidden="1"/>
    </xf>
    <xf numFmtId="0" fontId="1" fillId="2" borderId="0" xfId="0" applyFont="1" applyFill="1" applyProtection="1">
      <protection hidden="1"/>
    </xf>
    <xf numFmtId="0" fontId="1" fillId="6" borderId="0" xfId="0" applyFont="1" applyFill="1" applyProtection="1">
      <protection hidden="1"/>
    </xf>
    <xf numFmtId="14" fontId="1" fillId="0" borderId="0" xfId="0" applyNumberFormat="1" applyFont="1" applyProtection="1">
      <protection hidden="1"/>
    </xf>
    <xf numFmtId="165" fontId="28" fillId="0" borderId="0" xfId="0" applyNumberFormat="1" applyFont="1" applyProtection="1">
      <protection hidden="1"/>
    </xf>
    <xf numFmtId="0" fontId="14" fillId="0" borderId="10" xfId="1" applyNumberFormat="1" applyFont="1" applyFill="1" applyBorder="1" applyAlignment="1" applyProtection="1">
      <alignment vertical="top"/>
      <protection hidden="1"/>
    </xf>
    <xf numFmtId="0" fontId="0" fillId="0" borderId="0" xfId="0" applyAlignment="1" applyProtection="1">
      <alignment horizontal="center" vertical="center"/>
      <protection hidden="1"/>
    </xf>
    <xf numFmtId="0" fontId="40" fillId="0" borderId="4" xfId="0" applyFont="1" applyBorder="1" applyAlignment="1" applyProtection="1">
      <alignment horizontal="center" vertical="center"/>
      <protection hidden="1"/>
    </xf>
    <xf numFmtId="171" fontId="41" fillId="5" borderId="0" xfId="0" applyNumberFormat="1" applyFont="1" applyFill="1" applyAlignment="1" applyProtection="1">
      <alignment horizontal="left" vertical="center"/>
      <protection hidden="1"/>
    </xf>
    <xf numFmtId="49" fontId="1" fillId="0" borderId="0" xfId="0" applyNumberFormat="1" applyFont="1" applyAlignment="1" applyProtection="1">
      <alignment horizontal="center"/>
      <protection hidden="1"/>
    </xf>
    <xf numFmtId="4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6" borderId="0" xfId="0" applyFont="1" applyFill="1" applyAlignment="1" applyProtection="1">
      <alignment horizont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49" fontId="1" fillId="0" borderId="0" xfId="0" applyNumberFormat="1" applyFont="1" applyAlignment="1" applyProtection="1">
      <alignment horizontal="center" vertical="center"/>
      <protection hidden="1"/>
    </xf>
    <xf numFmtId="165" fontId="13" fillId="0" borderId="3" xfId="0" applyNumberFormat="1" applyFont="1" applyBorder="1" applyAlignment="1" applyProtection="1">
      <alignment vertical="center"/>
      <protection hidden="1"/>
    </xf>
    <xf numFmtId="170" fontId="4" fillId="0" borderId="4" xfId="0" applyNumberFormat="1" applyFont="1" applyBorder="1" applyAlignment="1" applyProtection="1">
      <alignment vertical="center"/>
      <protection hidden="1"/>
    </xf>
    <xf numFmtId="170" fontId="4" fillId="0" borderId="18" xfId="0" applyNumberFormat="1" applyFont="1" applyBorder="1" applyAlignment="1" applyProtection="1">
      <alignment vertical="center"/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1" fillId="6" borderId="0" xfId="0" applyFont="1" applyFill="1" applyAlignment="1" applyProtection="1">
      <alignment vertical="center"/>
      <protection hidden="1"/>
    </xf>
    <xf numFmtId="165" fontId="11" fillId="0" borderId="1" xfId="0" applyNumberFormat="1" applyFont="1" applyBorder="1" applyAlignment="1" applyProtection="1">
      <alignment horizontal="center" vertical="center"/>
      <protection hidden="1"/>
    </xf>
    <xf numFmtId="0" fontId="23" fillId="2" borderId="0" xfId="0" applyFont="1" applyFill="1" applyProtection="1">
      <protection hidden="1"/>
    </xf>
    <xf numFmtId="0" fontId="42" fillId="0" borderId="0" xfId="0" applyFont="1" applyProtection="1">
      <protection hidden="1"/>
    </xf>
    <xf numFmtId="172" fontId="0" fillId="0" borderId="0" xfId="0" applyNumberFormat="1"/>
    <xf numFmtId="172" fontId="0" fillId="0" borderId="0" xfId="0" applyNumberFormat="1" applyAlignment="1">
      <alignment horizontal="center" vertical="center"/>
    </xf>
    <xf numFmtId="0" fontId="24" fillId="5" borderId="0" xfId="0" applyFont="1" applyFill="1" applyProtection="1">
      <protection hidden="1"/>
    </xf>
    <xf numFmtId="172" fontId="24" fillId="5" borderId="0" xfId="0" applyNumberFormat="1" applyFont="1" applyFill="1" applyProtection="1">
      <protection hidden="1"/>
    </xf>
    <xf numFmtId="165" fontId="24" fillId="5" borderId="0" xfId="0" applyNumberFormat="1" applyFont="1" applyFill="1" applyAlignment="1" applyProtection="1">
      <alignment horizontal="left" vertical="center"/>
      <protection hidden="1"/>
    </xf>
    <xf numFmtId="165" fontId="17" fillId="5" borderId="0" xfId="0" applyNumberFormat="1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165" fontId="16" fillId="5" borderId="0" xfId="0" applyNumberFormat="1" applyFont="1" applyFill="1" applyProtection="1">
      <protection hidden="1"/>
    </xf>
    <xf numFmtId="0" fontId="16" fillId="5" borderId="0" xfId="0" applyFont="1" applyFill="1" applyProtection="1">
      <protection hidden="1"/>
    </xf>
    <xf numFmtId="0" fontId="44" fillId="7" borderId="21" xfId="0" applyFont="1" applyFill="1" applyBorder="1"/>
    <xf numFmtId="0" fontId="44" fillId="7" borderId="20" xfId="0" applyFont="1" applyFill="1" applyBorder="1"/>
    <xf numFmtId="0" fontId="43" fillId="8" borderId="22" xfId="0" applyFont="1" applyFill="1" applyBorder="1" applyAlignment="1">
      <alignment horizontal="center"/>
    </xf>
    <xf numFmtId="167" fontId="43" fillId="8" borderId="22" xfId="0" applyNumberFormat="1" applyFont="1" applyFill="1" applyBorder="1" applyAlignment="1">
      <alignment horizontal="center"/>
    </xf>
    <xf numFmtId="173" fontId="43" fillId="8" borderId="22" xfId="0" applyNumberFormat="1" applyFont="1" applyFill="1" applyBorder="1" applyAlignment="1">
      <alignment horizontal="center"/>
    </xf>
    <xf numFmtId="173" fontId="0" fillId="8" borderId="23" xfId="0" applyNumberForma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73" fontId="0" fillId="0" borderId="0" xfId="0" applyNumberFormat="1"/>
    <xf numFmtId="173" fontId="0" fillId="0" borderId="0" xfId="0" applyNumberFormat="1" applyAlignment="1">
      <alignment horizontal="center"/>
    </xf>
    <xf numFmtId="0" fontId="27" fillId="5" borderId="0" xfId="0" applyFont="1" applyFill="1" applyAlignment="1" applyProtection="1">
      <alignment horizontal="center" vertical="center" wrapText="1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center" vertical="center"/>
      <protection locked="0" hidden="1"/>
    </xf>
    <xf numFmtId="0" fontId="16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center" vertical="center"/>
      <protection locked="0"/>
    </xf>
    <xf numFmtId="0" fontId="45" fillId="5" borderId="0" xfId="0" applyFont="1" applyFill="1" applyAlignment="1" applyProtection="1">
      <alignment horizontal="center" vertical="center" wrapText="1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169" fontId="24" fillId="5" borderId="0" xfId="0" applyNumberFormat="1" applyFont="1" applyFill="1" applyAlignment="1" applyProtection="1">
      <alignment horizontal="left" vertical="center"/>
      <protection hidden="1"/>
    </xf>
    <xf numFmtId="0" fontId="0" fillId="0" borderId="0" xfId="0" applyAlignment="1">
      <alignment horizontal="center" wrapText="1"/>
    </xf>
    <xf numFmtId="14" fontId="4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/>
    <xf numFmtId="0" fontId="30" fillId="5" borderId="0" xfId="0" applyFont="1" applyFill="1" applyAlignment="1" applyProtection="1">
      <alignment horizontal="center" vertical="center"/>
      <protection hidden="1"/>
    </xf>
    <xf numFmtId="0" fontId="28" fillId="5" borderId="0" xfId="0" applyFont="1" applyFill="1" applyAlignment="1" applyProtection="1">
      <alignment horizontal="center" vertical="center"/>
      <protection locked="0"/>
    </xf>
    <xf numFmtId="0" fontId="28" fillId="5" borderId="0" xfId="0" applyFont="1" applyFill="1" applyAlignment="1" applyProtection="1">
      <alignment horizontal="center" vertical="center"/>
      <protection locked="0"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9" fillId="5" borderId="5" xfId="1" applyNumberFormat="1" applyFont="1" applyFill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165" fontId="8" fillId="0" borderId="3" xfId="1" applyNumberFormat="1" applyFont="1" applyFill="1" applyBorder="1" applyAlignment="1" applyProtection="1">
      <alignment vertical="center"/>
      <protection hidden="1"/>
    </xf>
    <xf numFmtId="165" fontId="8" fillId="0" borderId="4" xfId="1" applyNumberFormat="1" applyFont="1" applyBorder="1" applyAlignment="1" applyProtection="1">
      <alignment vertical="center"/>
      <protection hidden="1"/>
    </xf>
    <xf numFmtId="165" fontId="8" fillId="0" borderId="4" xfId="1" applyNumberFormat="1" applyFont="1" applyFill="1" applyBorder="1" applyAlignment="1" applyProtection="1">
      <alignment vertical="center"/>
      <protection hidden="1"/>
    </xf>
    <xf numFmtId="165" fontId="8" fillId="0" borderId="18" xfId="1" applyNumberFormat="1" applyFont="1" applyBorder="1" applyAlignment="1" applyProtection="1">
      <alignment vertical="center"/>
      <protection hidden="1"/>
    </xf>
    <xf numFmtId="164" fontId="0" fillId="0" borderId="0" xfId="0" applyNumberFormat="1" applyAlignment="1">
      <alignment horizontal="center" vertical="center"/>
    </xf>
    <xf numFmtId="0" fontId="0" fillId="0" borderId="6" xfId="0" applyBorder="1" applyAlignment="1" applyProtection="1">
      <alignment horizontal="left" vertical="center"/>
      <protection hidden="1"/>
    </xf>
    <xf numFmtId="0" fontId="21" fillId="0" borderId="7" xfId="0" applyFont="1" applyBorder="1" applyAlignment="1" applyProtection="1">
      <alignment horizontal="center"/>
      <protection locked="0" hidden="1"/>
    </xf>
    <xf numFmtId="0" fontId="21" fillId="0" borderId="8" xfId="0" applyFont="1" applyBorder="1" applyAlignment="1" applyProtection="1">
      <alignment horizontal="center"/>
      <protection locked="0" hidden="1"/>
    </xf>
    <xf numFmtId="0" fontId="21" fillId="0" borderId="1" xfId="0" applyFont="1" applyBorder="1" applyAlignment="1" applyProtection="1">
      <alignment horizontal="center"/>
      <protection locked="0" hidden="1"/>
    </xf>
    <xf numFmtId="0" fontId="18" fillId="0" borderId="7" xfId="1" applyFont="1" applyFill="1" applyBorder="1" applyAlignment="1" applyProtection="1">
      <alignment horizontal="left" vertical="center" wrapText="1"/>
      <protection locked="0" hidden="1"/>
    </xf>
    <xf numFmtId="0" fontId="18" fillId="0" borderId="8" xfId="1" applyFont="1" applyFill="1" applyBorder="1" applyAlignment="1" applyProtection="1">
      <alignment horizontal="left" vertical="center" wrapText="1"/>
      <protection locked="0" hidden="1"/>
    </xf>
    <xf numFmtId="0" fontId="18" fillId="0" borderId="1" xfId="1" applyFont="1" applyFill="1" applyBorder="1" applyAlignment="1" applyProtection="1">
      <alignment horizontal="left" vertical="center" wrapText="1"/>
      <protection locked="0" hidden="1"/>
    </xf>
    <xf numFmtId="165" fontId="21" fillId="0" borderId="7" xfId="0" applyNumberFormat="1" applyFont="1" applyBorder="1" applyAlignment="1" applyProtection="1">
      <alignment horizontal="center"/>
      <protection locked="0" hidden="1"/>
    </xf>
    <xf numFmtId="165" fontId="21" fillId="0" borderId="8" xfId="0" applyNumberFormat="1" applyFont="1" applyBorder="1" applyAlignment="1" applyProtection="1">
      <alignment horizontal="center"/>
      <protection locked="0" hidden="1"/>
    </xf>
    <xf numFmtId="165" fontId="21" fillId="0" borderId="1" xfId="0" applyNumberFormat="1" applyFont="1" applyBorder="1" applyAlignment="1" applyProtection="1">
      <alignment horizontal="center"/>
      <protection locked="0" hidden="1"/>
    </xf>
    <xf numFmtId="165" fontId="21" fillId="0" borderId="7" xfId="0" applyNumberFormat="1" applyFont="1" applyBorder="1" applyAlignment="1" applyProtection="1">
      <alignment horizontal="center" wrapText="1"/>
      <protection locked="0" hidden="1"/>
    </xf>
    <xf numFmtId="165" fontId="21" fillId="0" borderId="8" xfId="0" applyNumberFormat="1" applyFont="1" applyBorder="1" applyAlignment="1" applyProtection="1">
      <alignment horizontal="center" wrapText="1"/>
      <protection locked="0" hidden="1"/>
    </xf>
    <xf numFmtId="165" fontId="21" fillId="0" borderId="1" xfId="0" applyNumberFormat="1" applyFont="1" applyBorder="1" applyAlignment="1" applyProtection="1">
      <alignment horizontal="center" wrapText="1"/>
      <protection locked="0" hidden="1"/>
    </xf>
    <xf numFmtId="0" fontId="18" fillId="4" borderId="7" xfId="0" applyFont="1" applyFill="1" applyBorder="1" applyAlignment="1" applyProtection="1">
      <alignment horizontal="left" vertical="top" wrapText="1"/>
      <protection hidden="1"/>
    </xf>
    <xf numFmtId="0" fontId="18" fillId="3" borderId="8" xfId="0" applyFont="1" applyFill="1" applyBorder="1" applyAlignment="1" applyProtection="1">
      <alignment horizontal="left" vertical="top"/>
      <protection hidden="1"/>
    </xf>
    <xf numFmtId="0" fontId="18" fillId="3" borderId="1" xfId="0" applyFont="1" applyFill="1" applyBorder="1" applyAlignment="1" applyProtection="1">
      <alignment horizontal="left" vertical="top"/>
      <protection hidden="1"/>
    </xf>
    <xf numFmtId="0" fontId="18" fillId="4" borderId="7" xfId="0" applyFont="1" applyFill="1" applyBorder="1" applyAlignment="1" applyProtection="1">
      <alignment horizontal="left" vertical="center" wrapText="1"/>
      <protection locked="0" hidden="1"/>
    </xf>
    <xf numFmtId="0" fontId="0" fillId="0" borderId="8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4" fontId="21" fillId="0" borderId="0" xfId="0" quotePrefix="1" applyNumberFormat="1" applyFont="1" applyAlignment="1" applyProtection="1">
      <alignment horizontal="center"/>
      <protection hidden="1"/>
    </xf>
    <xf numFmtId="14" fontId="21" fillId="0" borderId="5" xfId="0" quotePrefix="1" applyNumberFormat="1" applyFont="1" applyBorder="1" applyAlignment="1" applyProtection="1">
      <alignment horizontal="center"/>
      <protection hidden="1"/>
    </xf>
    <xf numFmtId="0" fontId="18" fillId="4" borderId="7" xfId="0" applyFont="1" applyFill="1" applyBorder="1" applyAlignment="1" applyProtection="1">
      <alignment horizontal="center" vertical="center" wrapText="1"/>
      <protection hidden="1"/>
    </xf>
    <xf numFmtId="0" fontId="18" fillId="3" borderId="8" xfId="0" applyFont="1" applyFill="1" applyBorder="1" applyAlignment="1" applyProtection="1">
      <alignment horizontal="center" vertical="center"/>
      <protection hidden="1"/>
    </xf>
    <xf numFmtId="0" fontId="18" fillId="3" borderId="1" xfId="0" applyFont="1" applyFill="1" applyBorder="1" applyAlignment="1" applyProtection="1">
      <alignment horizontal="center" vertical="center"/>
      <protection hidden="1"/>
    </xf>
    <xf numFmtId="0" fontId="39" fillId="0" borderId="8" xfId="0" applyFont="1" applyBorder="1" applyAlignment="1" applyProtection="1">
      <alignment horizontal="center" vertical="center"/>
      <protection hidden="1"/>
    </xf>
    <xf numFmtId="165" fontId="14" fillId="2" borderId="7" xfId="0" applyNumberFormat="1" applyFont="1" applyFill="1" applyBorder="1" applyAlignment="1" applyProtection="1">
      <alignment horizontal="center" vertical="center"/>
      <protection hidden="1"/>
    </xf>
    <xf numFmtId="165" fontId="14" fillId="2" borderId="8" xfId="0" applyNumberFormat="1" applyFont="1" applyFill="1" applyBorder="1" applyAlignment="1" applyProtection="1">
      <alignment horizontal="center" vertical="center"/>
      <protection hidden="1"/>
    </xf>
    <xf numFmtId="165" fontId="14" fillId="2" borderId="1" xfId="0" applyNumberFormat="1" applyFont="1" applyFill="1" applyBorder="1" applyAlignment="1" applyProtection="1">
      <alignment horizontal="center" vertical="center"/>
      <protection hidden="1"/>
    </xf>
    <xf numFmtId="165" fontId="19" fillId="0" borderId="7" xfId="1" applyNumberFormat="1" applyFont="1" applyFill="1" applyBorder="1" applyAlignment="1" applyProtection="1">
      <alignment horizontal="center" vertical="center"/>
      <protection hidden="1"/>
    </xf>
    <xf numFmtId="165" fontId="19" fillId="0" borderId="8" xfId="1" applyNumberFormat="1" applyFont="1" applyFill="1" applyBorder="1" applyAlignment="1" applyProtection="1">
      <alignment horizontal="center" vertical="center"/>
      <protection hidden="1"/>
    </xf>
    <xf numFmtId="165" fontId="19" fillId="0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7" xfId="1" applyFont="1" applyBorder="1" applyAlignment="1" applyProtection="1">
      <alignment horizontal="left"/>
      <protection hidden="1"/>
    </xf>
    <xf numFmtId="0" fontId="0" fillId="0" borderId="8" xfId="1" applyFont="1" applyBorder="1" applyAlignment="1" applyProtection="1">
      <alignment horizontal="left"/>
      <protection hidden="1"/>
    </xf>
    <xf numFmtId="0" fontId="0" fillId="0" borderId="7" xfId="0" applyBorder="1" applyAlignment="1" applyProtection="1">
      <alignment horizontal="left" vertical="center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4" fillId="0" borderId="3" xfId="1" applyFont="1" applyBorder="1" applyAlignment="1" applyProtection="1">
      <alignment horizontal="center" vertical="center"/>
      <protection hidden="1"/>
    </xf>
    <xf numFmtId="0" fontId="4" fillId="0" borderId="4" xfId="1" applyFont="1" applyBorder="1" applyAlignment="1" applyProtection="1">
      <alignment horizontal="center" vertical="center"/>
      <protection hidden="1"/>
    </xf>
    <xf numFmtId="0" fontId="4" fillId="0" borderId="18" xfId="1" applyFont="1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/>
      <protection hidden="1"/>
    </xf>
    <xf numFmtId="14" fontId="21" fillId="0" borderId="7" xfId="0" quotePrefix="1" applyNumberFormat="1" applyFont="1" applyBorder="1" applyAlignment="1" applyProtection="1">
      <alignment horizontal="center"/>
      <protection locked="0" hidden="1"/>
    </xf>
    <xf numFmtId="14" fontId="21" fillId="0" borderId="8" xfId="0" applyNumberFormat="1" applyFont="1" applyBorder="1" applyAlignment="1" applyProtection="1">
      <alignment horizontal="center"/>
      <protection locked="0" hidden="1"/>
    </xf>
    <xf numFmtId="0" fontId="0" fillId="0" borderId="7" xfId="1" applyFont="1" applyBorder="1" applyAlignment="1" applyProtection="1">
      <alignment horizontal="center"/>
      <protection hidden="1"/>
    </xf>
    <xf numFmtId="0" fontId="0" fillId="0" borderId="8" xfId="1" applyFont="1" applyBorder="1" applyAlignment="1" applyProtection="1">
      <alignment horizontal="center"/>
      <protection hidden="1"/>
    </xf>
    <xf numFmtId="0" fontId="0" fillId="0" borderId="4" xfId="1" applyFont="1" applyBorder="1" applyAlignment="1" applyProtection="1">
      <alignment horizontal="center"/>
      <protection hidden="1"/>
    </xf>
    <xf numFmtId="0" fontId="0" fillId="0" borderId="18" xfId="1" applyFont="1" applyBorder="1" applyAlignment="1" applyProtection="1">
      <alignment horizontal="center"/>
      <protection hidden="1"/>
    </xf>
    <xf numFmtId="0" fontId="21" fillId="0" borderId="7" xfId="1" applyFont="1" applyBorder="1" applyAlignment="1" applyProtection="1">
      <alignment horizontal="left"/>
      <protection locked="0" hidden="1"/>
    </xf>
    <xf numFmtId="0" fontId="21" fillId="0" borderId="8" xfId="1" applyFont="1" applyBorder="1" applyAlignment="1" applyProtection="1">
      <alignment horizontal="left"/>
      <protection locked="0" hidden="1"/>
    </xf>
    <xf numFmtId="0" fontId="21" fillId="0" borderId="1" xfId="1" applyFont="1" applyBorder="1" applyAlignment="1" applyProtection="1">
      <alignment horizontal="left"/>
      <protection locked="0" hidden="1"/>
    </xf>
    <xf numFmtId="165" fontId="18" fillId="0" borderId="6" xfId="0" applyNumberFormat="1" applyFont="1" applyBorder="1" applyAlignment="1" applyProtection="1">
      <alignment horizontal="center"/>
      <protection hidden="1"/>
    </xf>
    <xf numFmtId="165" fontId="18" fillId="0" borderId="7" xfId="1" applyNumberFormat="1" applyFont="1" applyBorder="1" applyAlignment="1" applyProtection="1">
      <alignment horizontal="left" vertical="center" wrapText="1"/>
      <protection hidden="1"/>
    </xf>
    <xf numFmtId="0" fontId="10" fillId="0" borderId="8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174" fontId="18" fillId="0" borderId="6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165" fontId="1" fillId="0" borderId="0" xfId="0" applyNumberFormat="1" applyFont="1" applyAlignment="1" applyProtection="1">
      <alignment horizontal="center"/>
      <protection hidden="1"/>
    </xf>
    <xf numFmtId="165" fontId="18" fillId="0" borderId="0" xfId="0" applyNumberFormat="1" applyFont="1" applyAlignment="1" applyProtection="1">
      <alignment horizontal="center"/>
      <protection hidden="1"/>
    </xf>
    <xf numFmtId="0" fontId="27" fillId="0" borderId="8" xfId="0" applyFont="1" applyBorder="1" applyAlignment="1" applyProtection="1">
      <alignment horizontal="center" vertical="center"/>
      <protection hidden="1"/>
    </xf>
    <xf numFmtId="14" fontId="21" fillId="0" borderId="1" xfId="0" quotePrefix="1" applyNumberFormat="1" applyFont="1" applyBorder="1" applyAlignment="1" applyProtection="1">
      <alignment horizontal="center" vertical="center"/>
      <protection locked="0" hidden="1"/>
    </xf>
    <xf numFmtId="14" fontId="21" fillId="0" borderId="6" xfId="0" applyNumberFormat="1" applyFont="1" applyBorder="1" applyAlignment="1" applyProtection="1">
      <alignment horizontal="center" vertical="center"/>
      <protection locked="0" hidden="1"/>
    </xf>
    <xf numFmtId="165" fontId="0" fillId="0" borderId="7" xfId="1" applyNumberFormat="1" applyFont="1" applyFill="1" applyBorder="1" applyAlignment="1" applyProtection="1">
      <alignment horizontal="left" vertical="center"/>
      <protection hidden="1"/>
    </xf>
    <xf numFmtId="165" fontId="0" fillId="0" borderId="8" xfId="1" applyNumberFormat="1" applyFont="1" applyFill="1" applyBorder="1" applyAlignment="1" applyProtection="1">
      <alignment horizontal="left" vertical="center"/>
      <protection hidden="1"/>
    </xf>
    <xf numFmtId="165" fontId="0" fillId="0" borderId="1" xfId="1" applyNumberFormat="1" applyFont="1" applyFill="1" applyBorder="1" applyAlignment="1" applyProtection="1">
      <alignment horizontal="left" vertical="center"/>
      <protection hidden="1"/>
    </xf>
    <xf numFmtId="0" fontId="14" fillId="2" borderId="7" xfId="1" applyFont="1" applyFill="1" applyBorder="1" applyAlignment="1" applyProtection="1">
      <alignment horizontal="left" vertical="center"/>
      <protection hidden="1"/>
    </xf>
    <xf numFmtId="0" fontId="14" fillId="2" borderId="8" xfId="1" applyFont="1" applyFill="1" applyBorder="1" applyAlignment="1" applyProtection="1">
      <alignment horizontal="left" vertical="center"/>
      <protection hidden="1"/>
    </xf>
    <xf numFmtId="0" fontId="14" fillId="2" borderId="1" xfId="1" applyFont="1" applyFill="1" applyBorder="1" applyAlignment="1" applyProtection="1">
      <alignment horizontal="left" vertical="center"/>
      <protection hidden="1"/>
    </xf>
    <xf numFmtId="165" fontId="8" fillId="0" borderId="8" xfId="1" applyNumberFormat="1" applyFont="1" applyBorder="1" applyAlignment="1" applyProtection="1">
      <alignment horizontal="center" vertical="center"/>
      <protection hidden="1"/>
    </xf>
    <xf numFmtId="165" fontId="18" fillId="4" borderId="7" xfId="0" applyNumberFormat="1" applyFont="1" applyFill="1" applyBorder="1" applyAlignment="1" applyProtection="1">
      <alignment horizontal="left" vertical="top" wrapText="1"/>
      <protection hidden="1"/>
    </xf>
    <xf numFmtId="165" fontId="18" fillId="3" borderId="8" xfId="0" applyNumberFormat="1" applyFont="1" applyFill="1" applyBorder="1" applyAlignment="1" applyProtection="1">
      <alignment horizontal="left" vertical="top"/>
      <protection hidden="1"/>
    </xf>
    <xf numFmtId="165" fontId="18" fillId="3" borderId="1" xfId="0" applyNumberFormat="1" applyFont="1" applyFill="1" applyBorder="1" applyAlignment="1" applyProtection="1">
      <alignment horizontal="left" vertical="top"/>
      <protection hidden="1"/>
    </xf>
    <xf numFmtId="0" fontId="38" fillId="0" borderId="10" xfId="0" applyFont="1" applyBorder="1" applyAlignment="1" applyProtection="1">
      <alignment horizontal="left" vertical="center" wrapText="1"/>
      <protection hidden="1"/>
    </xf>
    <xf numFmtId="0" fontId="38" fillId="0" borderId="11" xfId="0" applyFont="1" applyBorder="1" applyAlignment="1" applyProtection="1">
      <alignment horizontal="left" vertical="center" wrapText="1"/>
      <protection hidden="1"/>
    </xf>
    <xf numFmtId="0" fontId="38" fillId="0" borderId="17" xfId="0" applyFont="1" applyBorder="1" applyAlignment="1" applyProtection="1">
      <alignment horizontal="left" vertical="center" wrapText="1"/>
      <protection hidden="1"/>
    </xf>
    <xf numFmtId="165" fontId="0" fillId="0" borderId="6" xfId="1" applyNumberFormat="1" applyFont="1" applyBorder="1" applyAlignment="1" applyProtection="1">
      <alignment horizontal="left"/>
      <protection hidden="1"/>
    </xf>
    <xf numFmtId="165" fontId="20" fillId="0" borderId="6" xfId="1" applyNumberFormat="1" applyFont="1" applyBorder="1" applyAlignment="1" applyProtection="1">
      <alignment horizontal="left"/>
      <protection hidden="1"/>
    </xf>
    <xf numFmtId="165" fontId="20" fillId="0" borderId="7" xfId="1" applyNumberFormat="1" applyFont="1" applyBorder="1" applyAlignment="1" applyProtection="1">
      <alignment horizontal="left"/>
      <protection hidden="1"/>
    </xf>
    <xf numFmtId="0" fontId="4" fillId="0" borderId="0" xfId="0" applyFont="1" applyAlignment="1" applyProtection="1">
      <alignment horizontal="left"/>
      <protection hidden="1"/>
    </xf>
    <xf numFmtId="0" fontId="4" fillId="0" borderId="5" xfId="0" applyFont="1" applyBorder="1" applyAlignment="1" applyProtection="1">
      <alignment horizontal="left"/>
      <protection hidden="1"/>
    </xf>
    <xf numFmtId="165" fontId="21" fillId="0" borderId="15" xfId="1" applyNumberFormat="1" applyFont="1" applyBorder="1" applyAlignment="1" applyProtection="1">
      <alignment horizontal="left"/>
      <protection locked="0" hidden="1"/>
    </xf>
    <xf numFmtId="165" fontId="21" fillId="0" borderId="14" xfId="1" applyNumberFormat="1" applyFont="1" applyBorder="1" applyAlignment="1" applyProtection="1">
      <alignment horizontal="left" vertical="center"/>
      <protection locked="0" hidden="1"/>
    </xf>
    <xf numFmtId="165" fontId="21" fillId="0" borderId="14" xfId="1" applyNumberFormat="1" applyFont="1" applyFill="1" applyBorder="1" applyAlignment="1" applyProtection="1">
      <alignment horizontal="left" vertical="center"/>
      <protection locked="0" hidden="1"/>
    </xf>
    <xf numFmtId="0" fontId="21" fillId="0" borderId="6" xfId="1" applyFont="1" applyBorder="1" applyAlignment="1" applyProtection="1">
      <alignment horizontal="left"/>
      <protection locked="0" hidden="1"/>
    </xf>
    <xf numFmtId="165" fontId="21" fillId="0" borderId="7" xfId="1" applyNumberFormat="1" applyFont="1" applyBorder="1" applyAlignment="1" applyProtection="1">
      <alignment horizontal="left"/>
      <protection locked="0" hidden="1"/>
    </xf>
    <xf numFmtId="165" fontId="21" fillId="0" borderId="8" xfId="1" applyNumberFormat="1" applyFont="1" applyBorder="1" applyAlignment="1" applyProtection="1">
      <alignment horizontal="left"/>
      <protection locked="0" hidden="1"/>
    </xf>
    <xf numFmtId="165" fontId="21" fillId="0" borderId="1" xfId="1" applyNumberFormat="1" applyFont="1" applyBorder="1" applyAlignment="1" applyProtection="1">
      <alignment horizontal="left"/>
      <protection locked="0" hidden="1"/>
    </xf>
    <xf numFmtId="49" fontId="21" fillId="0" borderId="7" xfId="1" applyNumberFormat="1" applyFont="1" applyBorder="1" applyAlignment="1" applyProtection="1">
      <alignment horizontal="left"/>
      <protection locked="0" hidden="1"/>
    </xf>
    <xf numFmtId="49" fontId="21" fillId="0" borderId="8" xfId="1" applyNumberFormat="1" applyFont="1" applyBorder="1" applyAlignment="1" applyProtection="1">
      <alignment horizontal="left"/>
      <protection locked="0" hidden="1"/>
    </xf>
    <xf numFmtId="0" fontId="10" fillId="0" borderId="2" xfId="1" applyFont="1" applyFill="1" applyBorder="1" applyAlignment="1" applyProtection="1">
      <alignment horizontal="center" vertical="center"/>
      <protection locked="0" hidden="1"/>
    </xf>
    <xf numFmtId="0" fontId="10" fillId="0" borderId="0" xfId="1" applyFont="1" applyFill="1" applyBorder="1" applyAlignment="1" applyProtection="1">
      <alignment horizontal="center" vertical="center"/>
      <protection locked="0" hidden="1"/>
    </xf>
    <xf numFmtId="0" fontId="10" fillId="0" borderId="5" xfId="1" applyFont="1" applyFill="1" applyBorder="1" applyAlignment="1" applyProtection="1">
      <alignment horizontal="center" vertical="center"/>
      <protection locked="0" hidden="1"/>
    </xf>
    <xf numFmtId="0" fontId="0" fillId="0" borderId="8" xfId="0" applyBorder="1" applyAlignment="1" applyProtection="1">
      <alignment horizontal="left"/>
      <protection hidden="1"/>
    </xf>
    <xf numFmtId="0" fontId="21" fillId="0" borderId="6" xfId="1" applyNumberFormat="1" applyFont="1" applyBorder="1" applyAlignment="1" applyProtection="1">
      <alignment horizontal="center"/>
      <protection locked="0" hidden="1"/>
    </xf>
    <xf numFmtId="165" fontId="0" fillId="0" borderId="7" xfId="0" applyNumberFormat="1" applyBorder="1" applyAlignment="1" applyProtection="1">
      <alignment horizontal="left" vertical="center"/>
      <protection hidden="1"/>
    </xf>
    <xf numFmtId="165" fontId="0" fillId="0" borderId="8" xfId="0" applyNumberFormat="1" applyBorder="1" applyAlignment="1" applyProtection="1">
      <alignment horizontal="left" vertical="center"/>
      <protection hidden="1"/>
    </xf>
    <xf numFmtId="165" fontId="0" fillId="0" borderId="1" xfId="0" applyNumberFormat="1" applyBorder="1" applyAlignment="1" applyProtection="1">
      <alignment horizontal="left" vertical="center"/>
      <protection hidden="1"/>
    </xf>
    <xf numFmtId="0" fontId="0" fillId="0" borderId="17" xfId="0" applyBorder="1" applyAlignment="1" applyProtection="1">
      <alignment horizontal="left" vertical="center"/>
      <protection hidden="1"/>
    </xf>
    <xf numFmtId="0" fontId="0" fillId="0" borderId="14" xfId="0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left" vertical="center"/>
      <protection hidden="1"/>
    </xf>
    <xf numFmtId="0" fontId="21" fillId="0" borderId="7" xfId="1" applyNumberFormat="1" applyFont="1" applyFill="1" applyBorder="1" applyAlignment="1" applyProtection="1">
      <alignment horizontal="center" vertical="center"/>
      <protection locked="0" hidden="1"/>
    </xf>
    <xf numFmtId="0" fontId="21" fillId="0" borderId="8" xfId="1" applyNumberFormat="1" applyFont="1" applyFill="1" applyBorder="1" applyAlignment="1" applyProtection="1">
      <alignment horizontal="center" vertical="center"/>
      <protection locked="0" hidden="1"/>
    </xf>
    <xf numFmtId="0" fontId="21" fillId="0" borderId="1" xfId="1" applyNumberFormat="1" applyFont="1" applyFill="1" applyBorder="1" applyAlignment="1" applyProtection="1">
      <alignment horizontal="center" vertical="center"/>
      <protection locked="0" hidden="1"/>
    </xf>
    <xf numFmtId="14" fontId="21" fillId="0" borderId="2" xfId="0" quotePrefix="1" applyNumberFormat="1" applyFont="1" applyBorder="1" applyAlignment="1" applyProtection="1">
      <alignment horizontal="left"/>
      <protection hidden="1"/>
    </xf>
    <xf numFmtId="14" fontId="21" fillId="0" borderId="0" xfId="0" quotePrefix="1" applyNumberFormat="1" applyFont="1" applyAlignment="1" applyProtection="1">
      <alignment horizontal="left"/>
      <protection hidden="1"/>
    </xf>
    <xf numFmtId="14" fontId="21" fillId="0" borderId="5" xfId="0" quotePrefix="1" applyNumberFormat="1" applyFont="1" applyBorder="1" applyAlignment="1" applyProtection="1">
      <alignment horizontal="left"/>
      <protection hidden="1"/>
    </xf>
    <xf numFmtId="0" fontId="21" fillId="0" borderId="6" xfId="1" applyFont="1" applyBorder="1" applyAlignment="1" applyProtection="1">
      <alignment horizontal="center"/>
      <protection locked="0" hidden="1"/>
    </xf>
    <xf numFmtId="14" fontId="21" fillId="0" borderId="6" xfId="1" applyNumberFormat="1" applyFont="1" applyFill="1" applyBorder="1" applyAlignment="1" applyProtection="1">
      <alignment horizontal="center" vertical="center"/>
      <protection locked="0" hidden="1"/>
    </xf>
    <xf numFmtId="0" fontId="21" fillId="0" borderId="15" xfId="1" applyNumberFormat="1" applyFont="1" applyFill="1" applyBorder="1" applyAlignment="1" applyProtection="1">
      <alignment horizontal="center" vertical="center"/>
      <protection locked="0" hidden="1"/>
    </xf>
    <xf numFmtId="0" fontId="21" fillId="0" borderId="6" xfId="1" applyNumberFormat="1" applyFont="1" applyFill="1" applyBorder="1" applyAlignment="1" applyProtection="1">
      <alignment horizontal="center" vertical="center"/>
      <protection locked="0" hidden="1"/>
    </xf>
    <xf numFmtId="0" fontId="37" fillId="2" borderId="8" xfId="1" applyFont="1" applyFill="1" applyBorder="1" applyAlignment="1" applyProtection="1">
      <alignment horizontal="center" vertical="center"/>
      <protection hidden="1"/>
    </xf>
    <xf numFmtId="0" fontId="14" fillId="2" borderId="8" xfId="1" applyFont="1" applyFill="1" applyBorder="1" applyAlignment="1" applyProtection="1">
      <alignment horizontal="center" vertical="center"/>
      <protection hidden="1"/>
    </xf>
    <xf numFmtId="0" fontId="14" fillId="2" borderId="1" xfId="1" applyFont="1" applyFill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left"/>
      <protection hidden="1"/>
    </xf>
    <xf numFmtId="165" fontId="0" fillId="0" borderId="12" xfId="0" applyNumberFormat="1" applyBorder="1" applyAlignment="1" applyProtection="1">
      <alignment horizontal="left"/>
      <protection hidden="1"/>
    </xf>
    <xf numFmtId="165" fontId="1" fillId="0" borderId="13" xfId="0" applyNumberFormat="1" applyFont="1" applyBorder="1" applyAlignment="1" applyProtection="1">
      <alignment horizontal="left"/>
      <protection hidden="1"/>
    </xf>
    <xf numFmtId="165" fontId="5" fillId="0" borderId="9" xfId="0" applyNumberFormat="1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left"/>
      <protection hidden="1"/>
    </xf>
    <xf numFmtId="0" fontId="24" fillId="0" borderId="11" xfId="0" applyFont="1" applyBorder="1" applyAlignment="1" applyProtection="1">
      <alignment horizontal="center"/>
      <protection hidden="1"/>
    </xf>
    <xf numFmtId="14" fontId="31" fillId="0" borderId="12" xfId="0" applyNumberFormat="1" applyFont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left"/>
      <protection hidden="1"/>
    </xf>
    <xf numFmtId="165" fontId="1" fillId="0" borderId="0" xfId="0" applyNumberFormat="1" applyFont="1" applyAlignment="1" applyProtection="1">
      <alignment horizontal="center" vertical="center"/>
      <protection hidden="1"/>
    </xf>
    <xf numFmtId="174" fontId="5" fillId="0" borderId="9" xfId="0" applyNumberFormat="1" applyFont="1" applyBorder="1" applyAlignment="1" applyProtection="1">
      <alignment horizontal="center"/>
      <protection hidden="1"/>
    </xf>
    <xf numFmtId="14" fontId="21" fillId="0" borderId="6" xfId="0" quotePrefix="1" applyNumberFormat="1" applyFont="1" applyBorder="1" applyAlignment="1" applyProtection="1">
      <alignment horizontal="center" vertical="center"/>
      <protection hidden="1"/>
    </xf>
    <xf numFmtId="14" fontId="21" fillId="0" borderId="6" xfId="0" applyNumberFormat="1" applyFont="1" applyBorder="1" applyAlignment="1" applyProtection="1">
      <alignment horizontal="center" vertical="center"/>
      <protection hidden="1"/>
    </xf>
    <xf numFmtId="0" fontId="0" fillId="0" borderId="7" xfId="1" applyFont="1" applyFill="1" applyBorder="1" applyAlignment="1" applyProtection="1">
      <alignment horizontal="left" vertical="center"/>
      <protection hidden="1"/>
    </xf>
    <xf numFmtId="0" fontId="0" fillId="0" borderId="8" xfId="1" applyFont="1" applyFill="1" applyBorder="1" applyAlignment="1" applyProtection="1">
      <alignment horizontal="left" vertical="center"/>
      <protection hidden="1"/>
    </xf>
    <xf numFmtId="0" fontId="0" fillId="0" borderId="1" xfId="1" applyFont="1" applyFill="1" applyBorder="1" applyAlignment="1" applyProtection="1">
      <alignment horizontal="left" vertical="center"/>
      <protection hidden="1"/>
    </xf>
    <xf numFmtId="165" fontId="21" fillId="0" borderId="7" xfId="1" applyNumberFormat="1" applyFont="1" applyBorder="1" applyAlignment="1" applyProtection="1">
      <alignment horizontal="left" vertical="center"/>
      <protection locked="0" hidden="1"/>
    </xf>
    <xf numFmtId="165" fontId="21" fillId="0" borderId="8" xfId="1" applyNumberFormat="1" applyFont="1" applyBorder="1" applyAlignment="1" applyProtection="1">
      <alignment horizontal="left" vertical="center"/>
      <protection locked="0" hidden="1"/>
    </xf>
    <xf numFmtId="165" fontId="21" fillId="4" borderId="8" xfId="1" applyNumberFormat="1" applyFont="1" applyFill="1" applyBorder="1" applyAlignment="1" applyProtection="1">
      <alignment horizontal="left" vertical="center"/>
      <protection locked="0" hidden="1"/>
    </xf>
    <xf numFmtId="165" fontId="21" fillId="0" borderId="1" xfId="1" applyNumberFormat="1" applyFont="1" applyBorder="1" applyAlignment="1" applyProtection="1">
      <alignment horizontal="left" vertical="center"/>
      <protection locked="0" hidden="1"/>
    </xf>
    <xf numFmtId="14" fontId="22" fillId="0" borderId="2" xfId="0" applyNumberFormat="1" applyFont="1" applyBorder="1" applyAlignment="1" applyProtection="1">
      <alignment horizontal="center"/>
      <protection hidden="1"/>
    </xf>
    <xf numFmtId="14" fontId="22" fillId="4" borderId="0" xfId="0" applyNumberFormat="1" applyFont="1" applyFill="1" applyAlignment="1" applyProtection="1">
      <alignment horizontal="center"/>
      <protection hidden="1"/>
    </xf>
    <xf numFmtId="14" fontId="22" fillId="0" borderId="0" xfId="0" applyNumberFormat="1" applyFont="1" applyAlignment="1" applyProtection="1">
      <alignment horizontal="center"/>
      <protection hidden="1"/>
    </xf>
    <xf numFmtId="14" fontId="22" fillId="0" borderId="5" xfId="0" applyNumberFormat="1" applyFont="1" applyBorder="1" applyAlignment="1" applyProtection="1">
      <alignment horizontal="center"/>
      <protection hidden="1"/>
    </xf>
    <xf numFmtId="165" fontId="18" fillId="4" borderId="7" xfId="0" applyNumberFormat="1" applyFont="1" applyFill="1" applyBorder="1" applyAlignment="1" applyProtection="1">
      <alignment horizontal="left" vertical="center" wrapText="1"/>
      <protection locked="0" hidden="1"/>
    </xf>
    <xf numFmtId="49" fontId="21" fillId="0" borderId="6" xfId="1" applyNumberFormat="1" applyFont="1" applyBorder="1" applyAlignment="1" applyProtection="1">
      <alignment horizontal="center" vertical="center"/>
      <protection locked="0" hidden="1"/>
    </xf>
    <xf numFmtId="165" fontId="8" fillId="0" borderId="4" xfId="1" applyNumberFormat="1" applyFont="1" applyBorder="1" applyAlignment="1" applyProtection="1">
      <alignment vertical="center" wrapText="1"/>
      <protection hidden="1"/>
    </xf>
    <xf numFmtId="0" fontId="0" fillId="0" borderId="4" xfId="0" applyBorder="1" applyAlignment="1" applyProtection="1">
      <alignment vertical="center" wrapText="1"/>
      <protection hidden="1"/>
    </xf>
  </cellXfs>
  <cellStyles count="2">
    <cellStyle name="Link" xfId="1" builtinId="8"/>
    <cellStyle name="Standard" xfId="0" builtinId="0"/>
  </cellStyles>
  <dxfs count="57">
    <dxf>
      <numFmt numFmtId="30" formatCode="@"/>
      <alignment horizontal="center" vertical="center" textRotation="0" wrapText="0" indent="0" justifyLastLine="0" shrinkToFit="0" readingOrder="0"/>
    </dxf>
    <dxf>
      <numFmt numFmtId="172" formatCode="#,##0.00\ _€;[Red]\-#,##0.00\ _€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0;;;@"/>
    </dxf>
    <dxf>
      <numFmt numFmtId="168" formatCode="0;;;@"/>
    </dxf>
    <dxf>
      <numFmt numFmtId="175" formatCode="m/d/yyyy"/>
      <alignment horizontal="center" vertical="bottom" textRotation="0" wrapText="0" indent="0" justifyLastLine="0" shrinkToFit="0" readingOrder="0"/>
    </dxf>
    <dxf>
      <numFmt numFmtId="168" formatCode="0;;;@"/>
      <alignment horizontal="center" vertical="bottom" textRotation="0" wrapText="0" indent="0" justifyLastLine="0" shrinkToFit="0" readingOrder="0"/>
    </dxf>
    <dxf>
      <numFmt numFmtId="168" formatCode="0;;;@"/>
      <alignment horizontal="left" vertical="center" textRotation="0" indent="0" justifyLastLine="0" shrinkToFit="0" readingOrder="0"/>
    </dxf>
    <dxf>
      <numFmt numFmtId="168" formatCode="0;;;@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168" formatCode="0;;;@"/>
      <alignment horizontal="center" vertical="center" textRotation="0" wrapText="0" indent="0" justifyLastLine="0" shrinkToFit="0" readingOrder="0"/>
    </dxf>
    <dxf>
      <numFmt numFmtId="168" formatCode="0;;;@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5" formatCode="m/d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;;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3" formatCode="#,##0.00\ &quot;€&quot;;[Red]\-\ #,##0.00\ &quot;€&quot;"/>
      <alignment horizontal="center" vertical="bottom" textRotation="0" wrapText="0" indent="0" justifyLastLine="0" shrinkToFit="0" readingOrder="0"/>
    </dxf>
    <dxf>
      <numFmt numFmtId="173" formatCode="#,##0.00\ &quot;€&quot;;[Red]\-\ #,##0.00\ &quot;€&quot;"/>
      <alignment horizontal="center" vertical="bottom" textRotation="0" wrapText="0" indent="0" justifyLastLine="0" shrinkToFit="0" readingOrder="0"/>
    </dxf>
    <dxf>
      <numFmt numFmtId="167" formatCode="#,##0\ &quot;€&quot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theme="0" tint="-4.9989318521683403E-2"/>
        </patternFill>
      </fill>
    </dxf>
    <dxf>
      <fill>
        <patternFill>
          <bgColor rgb="FFE6E6E6"/>
        </patternFill>
      </fill>
    </dxf>
    <dxf>
      <fill>
        <patternFill>
          <bgColor rgb="FFEBF1DE"/>
        </patternFill>
      </fill>
    </dxf>
  </dxfs>
  <tableStyles count="0" defaultTableStyle="TableStyleMedium9" defaultPivotStyle="PivotStyleLight16"/>
  <colors>
    <mruColors>
      <color rgb="FF666666"/>
      <color rgb="FFE6E6E6"/>
      <color rgb="FF007CB0"/>
      <color rgb="FFCFCFCF"/>
      <color rgb="FFEDEDED"/>
      <color rgb="FFEBF1DE"/>
      <color rgb="FFEBF4FB"/>
      <color rgb="FFD5E8F7"/>
      <color rgb="FFBCDB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20.emf"/><Relationship Id="rId7" Type="http://schemas.openxmlformats.org/officeDocument/2006/relationships/image" Target="../media/image16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10" Type="http://schemas.openxmlformats.org/officeDocument/2006/relationships/image" Target="../media/image13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448635</xdr:colOff>
      <xdr:row>62</xdr:row>
      <xdr:rowOff>132709</xdr:rowOff>
    </xdr:from>
    <xdr:to>
      <xdr:col>34</xdr:col>
      <xdr:colOff>630115</xdr:colOff>
      <xdr:row>63</xdr:row>
      <xdr:rowOff>117336</xdr:rowOff>
    </xdr:to>
    <xdr:sp macro="" textlink="">
      <xdr:nvSpPr>
        <xdr:cNvPr id="98" name="UML0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15196799" y="7337073"/>
          <a:ext cx="181480" cy="157808"/>
        </a:xfrm>
        <a:prstGeom prst="hexagon">
          <a:avLst/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0000" rtlCol="0" anchor="ctr"/>
        <a:lstStyle/>
        <a:p>
          <a:pPr marL="0" indent="0" algn="ctr"/>
          <a:endParaRPr lang="de-DE" sz="800" b="1">
            <a:solidFill>
              <a:schemeClr val="tx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466203</xdr:colOff>
      <xdr:row>61</xdr:row>
      <xdr:rowOff>50275</xdr:rowOff>
    </xdr:from>
    <xdr:to>
      <xdr:col>34</xdr:col>
      <xdr:colOff>628128</xdr:colOff>
      <xdr:row>61</xdr:row>
      <xdr:rowOff>193150</xdr:rowOff>
    </xdr:to>
    <xdr:sp macro="" textlink="">
      <xdr:nvSpPr>
        <xdr:cNvPr id="99" name="FHB0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5214367" y="7039893"/>
          <a:ext cx="161925" cy="142875"/>
        </a:xfrm>
        <a:prstGeom prst="plaque">
          <a:avLst/>
        </a:prstGeom>
        <a:solidFill>
          <a:srgbClr val="FFCCCC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0000" rtlCol="0" anchor="ctr" anchorCtr="1"/>
        <a:lstStyle/>
        <a:p>
          <a:pPr algn="l"/>
          <a:endParaRPr lang="de-DE" sz="8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746052</xdr:colOff>
      <xdr:row>59</xdr:row>
      <xdr:rowOff>166255</xdr:rowOff>
    </xdr:from>
    <xdr:to>
      <xdr:col>34</xdr:col>
      <xdr:colOff>920373</xdr:colOff>
      <xdr:row>60</xdr:row>
      <xdr:rowOff>167575</xdr:rowOff>
    </xdr:to>
    <xdr:sp macro="" textlink="">
      <xdr:nvSpPr>
        <xdr:cNvPr id="101" name="RUK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5494216" y="6809510"/>
          <a:ext cx="174321" cy="174501"/>
        </a:xfrm>
        <a:prstGeom prst="star24">
          <a:avLst>
            <a:gd name="adj" fmla="val 41346"/>
          </a:avLst>
        </a:prstGeom>
        <a:solidFill>
          <a:srgbClr val="FFFF00"/>
        </a:solidFill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450270</xdr:colOff>
      <xdr:row>59</xdr:row>
      <xdr:rowOff>168038</xdr:rowOff>
    </xdr:from>
    <xdr:to>
      <xdr:col>34</xdr:col>
      <xdr:colOff>617910</xdr:colOff>
      <xdr:row>60</xdr:row>
      <xdr:rowOff>162672</xdr:rowOff>
    </xdr:to>
    <xdr:sp macro="" textlink="" fLocksText="0">
      <xdr:nvSpPr>
        <xdr:cNvPr id="102" name="ASW0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5198434" y="6811293"/>
          <a:ext cx="167640" cy="167815"/>
        </a:xfrm>
        <a:prstGeom prst="flowChartConnector">
          <a:avLst/>
        </a:prstGeom>
        <a:solidFill>
          <a:srgbClr val="99FF66"/>
        </a:solidFill>
        <a:ln w="222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34</xdr:col>
      <xdr:colOff>1170707</xdr:colOff>
      <xdr:row>61</xdr:row>
      <xdr:rowOff>126475</xdr:rowOff>
    </xdr:from>
    <xdr:to>
      <xdr:col>34</xdr:col>
      <xdr:colOff>1349172</xdr:colOff>
      <xdr:row>62</xdr:row>
      <xdr:rowOff>62831</xdr:rowOff>
    </xdr:to>
    <xdr:sp macro="" textlink="">
      <xdr:nvSpPr>
        <xdr:cNvPr id="106" name="RFK0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>
          <a:off x="15918871" y="7116093"/>
          <a:ext cx="178465" cy="151102"/>
        </a:xfrm>
        <a:prstGeom prst="flowChartDelay">
          <a:avLst/>
        </a:prstGeom>
        <a:solidFill>
          <a:srgbClr val="FFC000"/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0000" rtlCol="0" anchor="ctr" anchorCtr="0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726668</xdr:colOff>
      <xdr:row>61</xdr:row>
      <xdr:rowOff>30185</xdr:rowOff>
    </xdr:from>
    <xdr:to>
      <xdr:col>34</xdr:col>
      <xdr:colOff>948341</xdr:colOff>
      <xdr:row>61</xdr:row>
      <xdr:rowOff>210294</xdr:rowOff>
    </xdr:to>
    <xdr:sp macro="" textlink="">
      <xdr:nvSpPr>
        <xdr:cNvPr id="107" name="SPO0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>
          <a:off x="15474832" y="7019803"/>
          <a:ext cx="221673" cy="180109"/>
        </a:xfrm>
        <a:prstGeom prst="diamond">
          <a:avLst/>
        </a:prstGeom>
        <a:solidFill>
          <a:srgbClr val="99FF66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7200" rtlCol="0" anchor="ctr" anchorCtr="1"/>
        <a:lstStyle/>
        <a:p>
          <a:pPr algn="l"/>
          <a:endParaRPr lang="de-DE" sz="8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1159624</xdr:colOff>
      <xdr:row>60</xdr:row>
      <xdr:rowOff>51660</xdr:rowOff>
    </xdr:from>
    <xdr:to>
      <xdr:col>34</xdr:col>
      <xdr:colOff>1308127</xdr:colOff>
      <xdr:row>61</xdr:row>
      <xdr:rowOff>32177</xdr:rowOff>
    </xdr:to>
    <xdr:sp macro="" textlink="">
      <xdr:nvSpPr>
        <xdr:cNvPr id="109" name="SB0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Aspect="1"/>
        </xdr:cNvSpPr>
      </xdr:nvSpPr>
      <xdr:spPr>
        <a:xfrm>
          <a:off x="15907788" y="6868096"/>
          <a:ext cx="148503" cy="153699"/>
        </a:xfrm>
        <a:prstGeom prst="roundRect">
          <a:avLst>
            <a:gd name="adj" fmla="val 0"/>
          </a:avLst>
        </a:prstGeom>
        <a:solidFill>
          <a:srgbClr val="99CCFF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872834</xdr:colOff>
      <xdr:row>62</xdr:row>
      <xdr:rowOff>103910</xdr:rowOff>
    </xdr:from>
    <xdr:to>
      <xdr:col>34</xdr:col>
      <xdr:colOff>1062642</xdr:colOff>
      <xdr:row>63</xdr:row>
      <xdr:rowOff>70659</xdr:rowOff>
    </xdr:to>
    <xdr:sp macro="" textlink="">
      <xdr:nvSpPr>
        <xdr:cNvPr id="129" name="RBL0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>
          <a:off x="15620998" y="7308274"/>
          <a:ext cx="189808" cy="139930"/>
        </a:xfrm>
        <a:prstGeom prst="homePlate">
          <a:avLst/>
        </a:prstGeom>
        <a:solidFill>
          <a:srgbClr val="FF7575"/>
        </a:solidFill>
        <a:ln w="19050"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lIns="108000" rtlCol="0" anchor="ctr" anchorCtr="1"/>
        <a:lstStyle/>
        <a:p>
          <a:pPr algn="l"/>
          <a:endParaRPr lang="de-DE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457197</xdr:colOff>
      <xdr:row>64</xdr:row>
      <xdr:rowOff>76205</xdr:rowOff>
    </xdr:from>
    <xdr:to>
      <xdr:col>36</xdr:col>
      <xdr:colOff>1260762</xdr:colOff>
      <xdr:row>65</xdr:row>
      <xdr:rowOff>76203</xdr:rowOff>
    </xdr:to>
    <xdr:sp macro="" textlink="#REF!">
      <xdr:nvSpPr>
        <xdr:cNvPr id="241" name="LED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>
          <a:off x="15205361" y="7626932"/>
          <a:ext cx="3747656" cy="173180"/>
        </a:xfrm>
        <a:prstGeom prst="rightArrowCallout">
          <a:avLst>
            <a:gd name="adj1" fmla="val 36666"/>
            <a:gd name="adj2" fmla="val 21363"/>
            <a:gd name="adj3" fmla="val 0"/>
            <a:gd name="adj4" fmla="val 5092"/>
          </a:avLst>
        </a:prstGeom>
        <a:solidFill>
          <a:srgbClr val="99CCFF"/>
        </a:solidFill>
        <a:ln w="19050" cap="rnd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35</xdr:col>
      <xdr:colOff>55416</xdr:colOff>
      <xdr:row>58</xdr:row>
      <xdr:rowOff>48500</xdr:rowOff>
    </xdr:from>
    <xdr:to>
      <xdr:col>35</xdr:col>
      <xdr:colOff>214742</xdr:colOff>
      <xdr:row>64</xdr:row>
      <xdr:rowOff>48499</xdr:rowOff>
    </xdr:to>
    <xdr:sp macro="" textlink="">
      <xdr:nvSpPr>
        <xdr:cNvPr id="242" name="BB0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>
          <a:off x="15769934" y="6979237"/>
          <a:ext cx="1080653" cy="159326"/>
        </a:xfrm>
        <a:prstGeom prst="rightArrowCallout">
          <a:avLst>
            <a:gd name="adj1" fmla="val 36666"/>
            <a:gd name="adj2" fmla="val 23031"/>
            <a:gd name="adj3" fmla="val 0"/>
            <a:gd name="adj4" fmla="val 15003"/>
          </a:avLst>
        </a:prstGeom>
        <a:solidFill>
          <a:srgbClr val="FFFF00"/>
        </a:solidFill>
        <a:ln w="19050" cap="rnd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 anchorCtr="1"/>
        <a:lstStyle/>
        <a:p>
          <a:pPr algn="l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9</xdr:col>
      <xdr:colOff>22762</xdr:colOff>
      <xdr:row>56</xdr:row>
      <xdr:rowOff>16041</xdr:rowOff>
    </xdr:from>
    <xdr:ext cx="1637309" cy="1036366"/>
    <xdr:pic macro="[0]!Aufbautyp_Click">
      <xdr:nvPicPr>
        <xdr:cNvPr id="5" name="Grafik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191" y="10867737"/>
          <a:ext cx="1637309" cy="1036366"/>
        </a:xfrm>
        <a:prstGeom prst="rect">
          <a:avLst/>
        </a:prstGeom>
      </xdr:spPr>
    </xdr:pic>
    <xdr:clientData fLocksWithSheet="0"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55</xdr:row>
          <xdr:rowOff>161925</xdr:rowOff>
        </xdr:from>
        <xdr:to>
          <xdr:col>15</xdr:col>
          <xdr:colOff>123825</xdr:colOff>
          <xdr:row>62</xdr:row>
          <xdr:rowOff>9525</xdr:rowOff>
        </xdr:to>
        <xdr:sp macro="" textlink="">
          <xdr:nvSpPr>
            <xdr:cNvPr id="1161" name="Aufbautyp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17</xdr:col>
      <xdr:colOff>0</xdr:colOff>
      <xdr:row>30</xdr:row>
      <xdr:rowOff>0</xdr:rowOff>
    </xdr:from>
    <xdr:to>
      <xdr:col>23</xdr:col>
      <xdr:colOff>110836</xdr:colOff>
      <xdr:row>36</xdr:row>
      <xdr:rowOff>2078</xdr:rowOff>
    </xdr:to>
    <xdr:grpSp>
      <xdr:nvGrpSpPr>
        <xdr:cNvPr id="1124" name="Fahrzeugbeschriftung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GrpSpPr/>
      </xdr:nvGrpSpPr>
      <xdr:grpSpPr>
        <a:xfrm>
          <a:off x="4762500" y="6103327"/>
          <a:ext cx="1737413" cy="1079136"/>
          <a:chOff x="5146964" y="6047509"/>
          <a:chExt cx="1814945" cy="1066800"/>
        </a:xfrm>
      </xdr:grpSpPr>
      <xdr:sp macro="[0]!Fahrzeugbeschriftung_Schutz" textlink="" fLocksText="0">
        <xdr:nvSpPr>
          <xdr:cNvPr id="9" name="Textfeld 8" hidden="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5146964" y="6047509"/>
            <a:ext cx="1814945" cy="1066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/>
          <a:lstStyle/>
          <a:p>
            <a:endParaRPr lang="de-DE" sz="1100"/>
          </a:p>
        </xdr:txBody>
      </xdr:sp>
      <xdr:pic macro="[0]!Fahrzeugbeschriftung_Schutz">
        <xdr:nvPicPr>
          <xdr:cNvPr id="24" name="Grafik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785" t="29006" r="9121" b="26280"/>
          <a:stretch/>
        </xdr:blipFill>
        <xdr:spPr>
          <a:xfrm>
            <a:off x="5188292" y="6691745"/>
            <a:ext cx="1681127" cy="360218"/>
          </a:xfrm>
          <a:prstGeom prst="rect">
            <a:avLst/>
          </a:prstGeom>
        </xdr:spPr>
      </xdr:pic>
      <xdr:pic macro="[0]!Fahrzeugbeschriftung_Schutz">
        <xdr:nvPicPr>
          <xdr:cNvPr id="1120" name="Grafik 1119" hidden="1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36730" y="6078241"/>
            <a:ext cx="1563517" cy="433397"/>
          </a:xfrm>
          <a:prstGeom prst="rect">
            <a:avLst/>
          </a:prstGeom>
        </xdr:spPr>
      </xdr:pic>
    </xdr:grpSp>
    <xdr:clientData fLocksWithSheet="0" fPrintsWithSheet="0"/>
  </xdr:twoCellAnchor>
  <xdr:twoCellAnchor>
    <xdr:from>
      <xdr:col>17</xdr:col>
      <xdr:colOff>0</xdr:colOff>
      <xdr:row>30</xdr:row>
      <xdr:rowOff>0</xdr:rowOff>
    </xdr:from>
    <xdr:to>
      <xdr:col>23</xdr:col>
      <xdr:colOff>107372</xdr:colOff>
      <xdr:row>36</xdr:row>
      <xdr:rowOff>693</xdr:rowOff>
    </xdr:to>
    <xdr:grpSp>
      <xdr:nvGrpSpPr>
        <xdr:cNvPr id="1131" name="Sonderbeschriftung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GrpSpPr/>
      </xdr:nvGrpSpPr>
      <xdr:grpSpPr>
        <a:xfrm>
          <a:off x="4762500" y="6103327"/>
          <a:ext cx="1733949" cy="1077751"/>
          <a:chOff x="4163291" y="4475017"/>
          <a:chExt cx="1814945" cy="1061951"/>
        </a:xfrm>
      </xdr:grpSpPr>
      <xdr:sp macro="[0]!Fahrzeugbeschriftung_Schutz" textlink="" fLocksText="0">
        <xdr:nvSpPr>
          <xdr:cNvPr id="66" name="Textfeld 65" hidden="1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4163291" y="4475017"/>
            <a:ext cx="1814945" cy="10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/>
          <a:lstStyle/>
          <a:p>
            <a:endParaRPr lang="de-DE" sz="1100"/>
          </a:p>
        </xdr:txBody>
      </xdr:sp>
      <xdr:pic macro="[0]!Fahrzeugbeschriftung_Schutz">
        <xdr:nvPicPr>
          <xdr:cNvPr id="1128" name="Grafik 1127" hidden="1">
            <a:extLst>
              <a:ext uri="{FF2B5EF4-FFF2-40B4-BE49-F238E27FC236}">
                <a16:creationId xmlns:a16="http://schemas.microsoft.com/office/drawing/2014/main" id="{00000000-0008-0000-0000-000068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8656" y="4631814"/>
            <a:ext cx="703335" cy="648000"/>
          </a:xfrm>
          <a:prstGeom prst="rect">
            <a:avLst/>
          </a:prstGeom>
        </xdr:spPr>
      </xdr:pic>
      <xdr:pic macro="[0]!Fahrzeugbeschriftung_Schutz">
        <xdr:nvPicPr>
          <xdr:cNvPr id="1126" name="Grafik 1125" hidden="1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14565" y="4634215"/>
            <a:ext cx="647574" cy="648949"/>
          </a:xfrm>
          <a:prstGeom prst="rect">
            <a:avLst/>
          </a:prstGeom>
        </xdr:spPr>
      </xdr:pic>
    </xdr:grpSp>
    <xdr:clientData fLocksWithSheet="0" fPrintsWithSheet="0"/>
  </xdr:twoCellAnchor>
  <xdr:oneCellAnchor>
    <xdr:from>
      <xdr:col>16</xdr:col>
      <xdr:colOff>205155</xdr:colOff>
      <xdr:row>0</xdr:row>
      <xdr:rowOff>278423</xdr:rowOff>
    </xdr:from>
    <xdr:ext cx="1835883" cy="350866"/>
    <xdr:pic macro="[0]!Logo_Schutz">
      <xdr:nvPicPr>
        <xdr:cNvPr id="48" name="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1213" y="278423"/>
          <a:ext cx="1835883" cy="350866"/>
        </a:xfrm>
        <a:prstGeom prst="rect">
          <a:avLst/>
        </a:prstGeom>
      </xdr:spPr>
    </xdr:pic>
    <xdr:clientData/>
  </xdr:oneCellAnchor>
  <xdr:oneCellAnchor>
    <xdr:from>
      <xdr:col>1</xdr:col>
      <xdr:colOff>205553</xdr:colOff>
      <xdr:row>107</xdr:row>
      <xdr:rowOff>180513</xdr:rowOff>
    </xdr:from>
    <xdr:ext cx="5756563" cy="900000"/>
    <xdr:sp macro="[0]!Textfeld_Schutz" textlink="">
      <xdr:nvSpPr>
        <xdr:cNvPr id="27" name="E_X_frei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33091" y="22593571"/>
          <a:ext cx="5756563" cy="900000"/>
        </a:xfrm>
        <a:prstGeom prst="rect">
          <a:avLst/>
        </a:prstGeom>
        <a:solidFill>
          <a:schemeClr val="bg1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I hereby confirm that I have taken  note of above mentioned technical changes including additional costs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and confirm with my signature that I recognize </a:t>
          </a:r>
          <a:r>
            <a:rPr lang="de-DE" sz="800" b="1" u="sng">
              <a:latin typeface="Arial" panose="020B0604020202020204" pitchFamily="34" charset="0"/>
              <a:cs typeface="Arial" panose="020B0604020202020204" pitchFamily="34" charset="0"/>
            </a:rPr>
            <a:t>all positions marked with an "X"</a:t>
          </a:r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 and release them for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further production of the vehicle.</a:t>
          </a:r>
        </a:p>
        <a:p>
          <a:pPr algn="ctr"/>
          <a:endParaRPr lang="de-DE" sz="500" b="0" u="none">
            <a:solidFill>
              <a:schemeClr val="dk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de-DE" sz="800" b="0" u="non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positions have already been released, they are marked with a "</a:t>
          </a:r>
          <a:r>
            <a:rPr lang="de-DE" sz="1400" b="1" baseline="0">
              <a:solidFill>
                <a:schemeClr val="dk1"/>
              </a:solidFill>
              <a:effectLst/>
              <a:latin typeface="Wingdings 2" panose="05020102010507070707" pitchFamily="18" charset="2"/>
              <a:ea typeface="+mn-ea"/>
              <a:cs typeface="+mn-cs"/>
            </a:rPr>
            <a:t>P</a:t>
          </a:r>
          <a:r>
            <a:rPr lang="de-DE" sz="800" b="0" u="non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".</a:t>
          </a:r>
        </a:p>
        <a:p>
          <a:pPr algn="ctr"/>
          <a:endParaRPr lang="de-DE" sz="800" b="0" u="none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5</xdr:col>
      <xdr:colOff>183178</xdr:colOff>
      <xdr:row>0</xdr:row>
      <xdr:rowOff>600808</xdr:rowOff>
    </xdr:from>
    <xdr:to>
      <xdr:col>18</xdr:col>
      <xdr:colOff>14659</xdr:colOff>
      <xdr:row>0</xdr:row>
      <xdr:rowOff>798634</xdr:rowOff>
    </xdr:to>
    <xdr:sp macro="" textlink="">
      <xdr:nvSpPr>
        <xdr:cNvPr id="6" name="PDF_intern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56293" y="600808"/>
          <a:ext cx="3077308" cy="197826"/>
        </a:xfrm>
        <a:prstGeom prst="roundRect">
          <a:avLst/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000" rIns="0" bIns="18000" rtlCol="0" anchor="t"/>
        <a:lstStyle/>
        <a:p>
          <a:pPr algn="ctr"/>
          <a:r>
            <a:rPr lang="de-DE" sz="1000" b="1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&gt;&gt;&gt;</a:t>
          </a:r>
          <a:r>
            <a:rPr lang="de-DE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de-DE" sz="1000" b="1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NUR</a:t>
          </a:r>
          <a:r>
            <a:rPr lang="de-DE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 FÜR DEN INTERNEN GEBRAUCH  &lt;&lt;&lt;</a:t>
          </a:r>
          <a:endParaRPr lang="de-DE" sz="1000" b="1">
            <a:solidFill>
              <a:srgbClr val="C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14</xdr:col>
      <xdr:colOff>60601</xdr:colOff>
      <xdr:row>29</xdr:row>
      <xdr:rowOff>62349</xdr:rowOff>
    </xdr:from>
    <xdr:ext cx="452744" cy="464126"/>
    <xdr:pic>
      <xdr:nvPicPr>
        <xdr:cNvPr id="11" name="Fahrzeuge1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3774" y="5901907"/>
          <a:ext cx="452744" cy="464126"/>
        </a:xfrm>
        <a:prstGeom prst="rect">
          <a:avLst/>
        </a:prstGeom>
      </xdr:spPr>
    </xdr:pic>
    <xdr:clientData fLocksWithSheet="0"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29</xdr:row>
          <xdr:rowOff>28575</xdr:rowOff>
        </xdr:from>
        <xdr:to>
          <xdr:col>16</xdr:col>
          <xdr:colOff>28575</xdr:colOff>
          <xdr:row>31</xdr:row>
          <xdr:rowOff>171450</xdr:rowOff>
        </xdr:to>
        <xdr:sp macro="" textlink="">
          <xdr:nvSpPr>
            <xdr:cNvPr id="1174" name="Label1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183577</xdr:colOff>
      <xdr:row>107</xdr:row>
      <xdr:rowOff>173183</xdr:rowOff>
    </xdr:from>
    <xdr:ext cx="5772123" cy="900000"/>
    <xdr:sp macro="[0]!Textfeld_Schutz" textlink="">
      <xdr:nvSpPr>
        <xdr:cNvPr id="31" name="E_X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711115" y="22586241"/>
          <a:ext cx="5772123" cy="900000"/>
        </a:xfrm>
        <a:prstGeom prst="rect">
          <a:avLst/>
        </a:prstGeom>
        <a:solidFill>
          <a:schemeClr val="bg1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I hereby confirm that I have taken  note of above mentioned technical changes including additional costs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and confirm with my signature that I recognize </a:t>
          </a:r>
          <a:r>
            <a:rPr lang="de-DE" sz="800" b="1" u="sng">
              <a:latin typeface="Arial" panose="020B0604020202020204" pitchFamily="34" charset="0"/>
              <a:cs typeface="Arial" panose="020B0604020202020204" pitchFamily="34" charset="0"/>
            </a:rPr>
            <a:t>all positions marked with an "X"</a:t>
          </a:r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 and release them for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further production of the vehicle.</a:t>
          </a:r>
        </a:p>
      </xdr:txBody>
    </xdr:sp>
    <xdr:clientData/>
  </xdr:oneCellAnchor>
  <xdr:twoCellAnchor>
    <xdr:from>
      <xdr:col>41</xdr:col>
      <xdr:colOff>791308</xdr:colOff>
      <xdr:row>0</xdr:row>
      <xdr:rowOff>146538</xdr:rowOff>
    </xdr:from>
    <xdr:to>
      <xdr:col>55</xdr:col>
      <xdr:colOff>249117</xdr:colOff>
      <xdr:row>1</xdr:row>
      <xdr:rowOff>24178</xdr:rowOff>
    </xdr:to>
    <xdr:grpSp>
      <xdr:nvGrpSpPr>
        <xdr:cNvPr id="62" name="BW_Text_Sicherung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pSpPr/>
      </xdr:nvGrpSpPr>
      <xdr:grpSpPr>
        <a:xfrm>
          <a:off x="48137885" y="146538"/>
          <a:ext cx="3861290" cy="698255"/>
          <a:chOff x="7238999" y="18200151"/>
          <a:chExt cx="3861289" cy="753095"/>
        </a:xfrm>
      </xdr:grpSpPr>
      <xdr:sp macro="" textlink="" fLocksText="0">
        <xdr:nvSpPr>
          <xdr:cNvPr id="63" name="Textfeld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7304942" y="18200151"/>
            <a:ext cx="3795346" cy="753095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r>
              <a:rPr lang="de-DE" sz="1100" baseline="0">
                <a:solidFill>
                  <a:schemeClr val="tx1"/>
                </a:solidFill>
              </a:rPr>
              <a:t>          </a:t>
            </a:r>
            <a:endParaRPr lang="de-DE" sz="200" baseline="0">
              <a:solidFill>
                <a:schemeClr val="tx1"/>
              </a:solidFill>
            </a:endParaRPr>
          </a:p>
          <a:p>
            <a:r>
              <a:rPr lang="de-DE" sz="1100">
                <a:solidFill>
                  <a:schemeClr val="tx1"/>
                </a:solidFill>
              </a:rPr>
              <a:t>    </a:t>
            </a:r>
            <a:r>
              <a:rPr lang="de-DE" sz="1100" baseline="0">
                <a:solidFill>
                  <a:schemeClr val="tx1"/>
                </a:solidFill>
              </a:rPr>
              <a:t>      </a:t>
            </a:r>
            <a:endParaRPr lang="de-DE" sz="200">
              <a:solidFill>
                <a:schemeClr val="tx1"/>
              </a:solidFill>
            </a:endParaRPr>
          </a:p>
          <a:p>
            <a:r>
              <a:rPr lang="de-DE" sz="1100" baseline="0">
                <a:solidFill>
                  <a:schemeClr val="tx1"/>
                </a:solidFill>
              </a:rPr>
              <a:t>          </a:t>
            </a:r>
            <a:endParaRPr lang="de-DE" sz="1100">
              <a:solidFill>
                <a:schemeClr val="tx1"/>
              </a:solidFill>
            </a:endParaRPr>
          </a:p>
        </xdr:txBody>
      </xdr:sp>
      <xdr:sp macro="[0]!BW_TEK" textlink="" fLocksText="0">
        <xdr:nvSpPr>
          <xdr:cNvPr id="67" name="Rechteck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7340041" y="18249079"/>
            <a:ext cx="3707999" cy="180000"/>
          </a:xfrm>
          <a:prstGeom prst="rect">
            <a:avLst/>
          </a:prstGeom>
          <a:solidFill>
            <a:schemeClr val="bg1">
              <a:lumMod val="8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TEK</a:t>
            </a:r>
            <a:r>
              <a:rPr lang="de-DE" sz="11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de-DE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=  </a:t>
            </a:r>
            <a:r>
              <a:rPr lang="de-DE" sz="11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Te</a:t>
            </a:r>
            <a:r>
              <a:rPr lang="de-DE" sz="110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chnische </a:t>
            </a:r>
            <a:r>
              <a:rPr lang="de-DE" sz="11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K</a:t>
            </a:r>
            <a:r>
              <a:rPr lang="de-DE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orrektur (Nicht bestandteil des Auftrags)</a:t>
            </a:r>
            <a:endParaRPr lang="de-DE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</xdr:txBody>
      </xdr:sp>
      <xdr:sp macro="[0]!BW_TEA" textlink="" fLocksText="0">
        <xdr:nvSpPr>
          <xdr:cNvPr id="68" name="Rechteck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7342960" y="18485869"/>
            <a:ext cx="3707999" cy="180000"/>
          </a:xfrm>
          <a:prstGeom prst="rect">
            <a:avLst/>
          </a:prstGeom>
          <a:solidFill>
            <a:schemeClr val="bg1">
              <a:lumMod val="8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TEA</a:t>
            </a:r>
            <a:r>
              <a:rPr lang="de-DE" sz="11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de-DE" sz="11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=  </a:t>
            </a:r>
            <a:r>
              <a:rPr lang="de-DE" sz="11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Te</a:t>
            </a:r>
            <a:r>
              <a:rPr lang="de-DE" sz="110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chnische </a:t>
            </a:r>
            <a:r>
              <a:rPr lang="de-DE" sz="11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de-DE" sz="110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bstimmung </a:t>
            </a:r>
            <a:r>
              <a:rPr lang="de-DE" sz="11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(Bestandteil des Auftrags)</a:t>
            </a:r>
            <a:endParaRPr lang="de-DE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</xdr:txBody>
      </xdr:sp>
      <xdr:sp macro="[0]!BW_KMU" textlink="" fLocksText="0">
        <xdr:nvSpPr>
          <xdr:cNvPr id="69" name="Rechteck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7351132" y="18726503"/>
            <a:ext cx="3707999" cy="180000"/>
          </a:xfrm>
          <a:prstGeom prst="rect">
            <a:avLst/>
          </a:prstGeom>
          <a:solidFill>
            <a:schemeClr val="bg1">
              <a:lumMod val="8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KMU</a:t>
            </a:r>
            <a:r>
              <a:rPr lang="de-DE" sz="1100" b="1">
                <a:solidFill>
                  <a:srgbClr val="007CB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de-DE" sz="11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=  </a:t>
            </a:r>
            <a:r>
              <a:rPr lang="de-DE" sz="11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K</a:t>
            </a:r>
            <a:r>
              <a:rPr lang="de-DE" sz="110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rorrektur</a:t>
            </a:r>
            <a:r>
              <a:rPr lang="de-DE" sz="110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de-DE" sz="11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MU</a:t>
            </a:r>
            <a:r>
              <a:rPr lang="de-DE" sz="110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de-DE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(Produktionsfehler)</a:t>
            </a:r>
            <a:endParaRPr lang="de-DE" sz="11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71" name="Pfeil: nach links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7238999" y="18220488"/>
            <a:ext cx="136826" cy="128130"/>
          </a:xfrm>
          <a:prstGeom prst="leftArrow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41</xdr:col>
      <xdr:colOff>769327</xdr:colOff>
      <xdr:row>2</xdr:row>
      <xdr:rowOff>65942</xdr:rowOff>
    </xdr:from>
    <xdr:to>
      <xdr:col>41</xdr:col>
      <xdr:colOff>1707173</xdr:colOff>
      <xdr:row>5</xdr:row>
      <xdr:rowOff>90122</xdr:rowOff>
    </xdr:to>
    <xdr:grpSp>
      <xdr:nvGrpSpPr>
        <xdr:cNvPr id="73" name="Preis_Text_Sicherung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pSpPr/>
      </xdr:nvGrpSpPr>
      <xdr:grpSpPr>
        <a:xfrm>
          <a:off x="48115904" y="981807"/>
          <a:ext cx="937846" cy="595680"/>
          <a:chOff x="6403731" y="19240500"/>
          <a:chExt cx="952500" cy="593481"/>
        </a:xfrm>
      </xdr:grpSpPr>
      <xdr:sp macro="[0]!Fahrzeugbeschriftung_Schutz" textlink="" fLocksText="0">
        <xdr:nvSpPr>
          <xdr:cNvPr id="77" name="Textfeld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 txBox="1"/>
        </xdr:nvSpPr>
        <xdr:spPr>
          <a:xfrm>
            <a:off x="6492296" y="19240500"/>
            <a:ext cx="863935" cy="593481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r>
              <a:rPr lang="de-DE" sz="1100" baseline="0">
                <a:solidFill>
                  <a:schemeClr val="tx1"/>
                </a:solidFill>
              </a:rPr>
              <a:t>          </a:t>
            </a:r>
            <a:endParaRPr lang="de-DE" sz="1100">
              <a:solidFill>
                <a:schemeClr val="tx1"/>
              </a:solidFill>
            </a:endParaRPr>
          </a:p>
        </xdr:txBody>
      </xdr:sp>
      <xdr:sp macro="[0]!Mehrpreis" textlink="" fLocksText="0">
        <xdr:nvSpPr>
          <xdr:cNvPr id="78" name="Rechteck: abgerundete Ecken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6520961" y="19277135"/>
            <a:ext cx="792000" cy="144000"/>
          </a:xfrm>
          <a:prstGeom prst="roundRect">
            <a:avLst>
              <a:gd name="adj" fmla="val 0"/>
            </a:avLst>
          </a:prstGeom>
          <a:solidFill>
            <a:schemeClr val="bg1">
              <a:lumMod val="7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0" rIns="0" bIns="0" rtlCol="0" anchor="ctr"/>
          <a:lstStyle/>
          <a:p>
            <a:pPr marL="0" indent="0"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Arial" panose="020B0604020202020204" pitchFamily="34" charset="0"/>
              </a:rPr>
              <a:t> Mehrpreis</a:t>
            </a:r>
          </a:p>
        </xdr:txBody>
      </xdr:sp>
      <xdr:sp macro="[0]!Logo_Schutz" textlink="">
        <xdr:nvSpPr>
          <xdr:cNvPr id="79" name="Pfeil: nach links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6403731" y="19291992"/>
            <a:ext cx="131884" cy="119270"/>
          </a:xfrm>
          <a:prstGeom prst="leftArrow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Minderpreis" textlink="" fLocksText="0">
        <xdr:nvSpPr>
          <xdr:cNvPr id="80" name="Rechteck: abgerundete Ecken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/>
        </xdr:nvSpPr>
        <xdr:spPr>
          <a:xfrm>
            <a:off x="6528288" y="19460308"/>
            <a:ext cx="792000" cy="144000"/>
          </a:xfrm>
          <a:prstGeom prst="roundRect">
            <a:avLst>
              <a:gd name="adj" fmla="val 0"/>
            </a:avLst>
          </a:prstGeom>
          <a:solidFill>
            <a:schemeClr val="bg1">
              <a:lumMod val="7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0" rIns="0" bIns="0" rtlCol="0" anchor="ctr"/>
          <a:lstStyle/>
          <a:p>
            <a:pPr marL="0" indent="0"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Arial" panose="020B0604020202020204" pitchFamily="34" charset="0"/>
              </a:rPr>
              <a:t>Minderpreis</a:t>
            </a:r>
          </a:p>
        </xdr:txBody>
      </xdr:sp>
      <xdr:sp macro="[0]!_xludf.Info" textlink="" fLocksText="0">
        <xdr:nvSpPr>
          <xdr:cNvPr id="81" name="Rechteck: abgerundete Ecken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/>
        </xdr:nvSpPr>
        <xdr:spPr>
          <a:xfrm>
            <a:off x="6528288" y="19650807"/>
            <a:ext cx="792000" cy="144000"/>
          </a:xfrm>
          <a:prstGeom prst="roundRect">
            <a:avLst>
              <a:gd name="adj" fmla="val 0"/>
            </a:avLst>
          </a:prstGeom>
          <a:solidFill>
            <a:schemeClr val="bg1">
              <a:lumMod val="7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0" rIns="0" bIns="0" rtlCol="0" anchor="ctr"/>
          <a:lstStyle/>
          <a:p>
            <a:pPr marL="0" indent="0"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Arial" panose="020B0604020202020204" pitchFamily="34" charset="0"/>
              </a:rPr>
              <a:t>Info</a:t>
            </a:r>
          </a:p>
        </xdr:txBody>
      </xdr:sp>
    </xdr:grpSp>
    <xdr:clientData/>
  </xdr:twoCellAnchor>
  <xdr:oneCellAnchor>
    <xdr:from>
      <xdr:col>1</xdr:col>
      <xdr:colOff>168924</xdr:colOff>
      <xdr:row>107</xdr:row>
      <xdr:rowOff>173181</xdr:rowOff>
    </xdr:from>
    <xdr:ext cx="5756562" cy="900000"/>
    <xdr:sp macro="[0]!Textfeld_Schutz" textlink="">
      <xdr:nvSpPr>
        <xdr:cNvPr id="30" name="E_all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696462" y="22586239"/>
          <a:ext cx="5756562" cy="900000"/>
        </a:xfrm>
        <a:prstGeom prst="rect">
          <a:avLst/>
        </a:prstGeom>
        <a:solidFill>
          <a:schemeClr val="bg1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I hereby confirm that I have taken  note of above mentioned technical changes including additional costs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and confirm with my signature that I recognize </a:t>
          </a:r>
          <a:r>
            <a:rPr lang="de-DE" sz="800" b="1" u="sng">
              <a:latin typeface="Arial" panose="020B0604020202020204" pitchFamily="34" charset="0"/>
              <a:cs typeface="Arial" panose="020B0604020202020204" pitchFamily="34" charset="0"/>
            </a:rPr>
            <a:t>all positions</a:t>
          </a:r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 and release them for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further production of the vehicle.</a:t>
          </a:r>
        </a:p>
      </xdr:txBody>
    </xdr:sp>
    <xdr:clientData/>
  </xdr:oneCellAnchor>
  <xdr:twoCellAnchor>
    <xdr:from>
      <xdr:col>36</xdr:col>
      <xdr:colOff>0</xdr:colOff>
      <xdr:row>29</xdr:row>
      <xdr:rowOff>0</xdr:rowOff>
    </xdr:from>
    <xdr:to>
      <xdr:col>36</xdr:col>
      <xdr:colOff>937846</xdr:colOff>
      <xdr:row>32</xdr:row>
      <xdr:rowOff>25645</xdr:rowOff>
    </xdr:to>
    <xdr:grpSp>
      <xdr:nvGrpSpPr>
        <xdr:cNvPr id="97" name="Preis_Text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pSpPr/>
      </xdr:nvGrpSpPr>
      <xdr:grpSpPr>
        <a:xfrm>
          <a:off x="29864538" y="5912827"/>
          <a:ext cx="937846" cy="597145"/>
          <a:chOff x="6403731" y="19240500"/>
          <a:chExt cx="952500" cy="593481"/>
        </a:xfrm>
      </xdr:grpSpPr>
      <xdr:sp macro="[0]!Fahrzeugbeschriftung_Schutz" textlink="" fLocksText="0">
        <xdr:nvSpPr>
          <xdr:cNvPr id="100" name="Textfeld 99" hidden="1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 txBox="1"/>
        </xdr:nvSpPr>
        <xdr:spPr>
          <a:xfrm>
            <a:off x="6492296" y="19240500"/>
            <a:ext cx="863935" cy="593481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r>
              <a:rPr lang="de-DE" sz="1100" baseline="0">
                <a:solidFill>
                  <a:schemeClr val="tx1"/>
                </a:solidFill>
              </a:rPr>
              <a:t>          </a:t>
            </a:r>
            <a:endParaRPr lang="de-DE" sz="1100">
              <a:solidFill>
                <a:schemeClr val="tx1"/>
              </a:solidFill>
            </a:endParaRPr>
          </a:p>
        </xdr:txBody>
      </xdr:sp>
      <xdr:sp macro="[0]!Mehrpreis" textlink="" fLocksText="0">
        <xdr:nvSpPr>
          <xdr:cNvPr id="103" name="Rechteck: abgerundete Ecken 102" hidden="1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6520961" y="19277135"/>
            <a:ext cx="792000" cy="144000"/>
          </a:xfrm>
          <a:prstGeom prst="roundRect">
            <a:avLst>
              <a:gd name="adj" fmla="val 0"/>
            </a:avLst>
          </a:prstGeom>
          <a:solidFill>
            <a:schemeClr val="bg1">
              <a:lumMod val="7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0" rIns="0" bIns="0" rtlCol="0" anchor="ctr"/>
          <a:lstStyle/>
          <a:p>
            <a:pPr marL="0" indent="0"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Arial" panose="020B0604020202020204" pitchFamily="34" charset="0"/>
              </a:rPr>
              <a:t> Mehrpreis</a:t>
            </a:r>
          </a:p>
        </xdr:txBody>
      </xdr:sp>
      <xdr:sp macro="[0]!Logo_Schutz" textlink="">
        <xdr:nvSpPr>
          <xdr:cNvPr id="104" name="Pfeil: nach links 103" hidden="1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6403731" y="19291992"/>
            <a:ext cx="131884" cy="119270"/>
          </a:xfrm>
          <a:prstGeom prst="leftArrow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Minderpreis" textlink="" fLocksText="0">
        <xdr:nvSpPr>
          <xdr:cNvPr id="105" name="Rechteck: abgerundete Ecken 104" hidden="1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/>
        </xdr:nvSpPr>
        <xdr:spPr>
          <a:xfrm>
            <a:off x="6528288" y="19460308"/>
            <a:ext cx="792000" cy="144000"/>
          </a:xfrm>
          <a:prstGeom prst="roundRect">
            <a:avLst>
              <a:gd name="adj" fmla="val 0"/>
            </a:avLst>
          </a:prstGeom>
          <a:solidFill>
            <a:schemeClr val="bg1">
              <a:lumMod val="7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0" rIns="0" bIns="0" rtlCol="0" anchor="ctr"/>
          <a:lstStyle/>
          <a:p>
            <a:pPr marL="0" indent="0"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Arial" panose="020B0604020202020204" pitchFamily="34" charset="0"/>
              </a:rPr>
              <a:t>Minderpreis</a:t>
            </a:r>
          </a:p>
        </xdr:txBody>
      </xdr:sp>
      <xdr:sp macro="[0]!_xludf.Info" textlink="" fLocksText="0">
        <xdr:nvSpPr>
          <xdr:cNvPr id="108" name="Rechteck: abgerundete Ecken 107" hidden="1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6528288" y="19650807"/>
            <a:ext cx="792000" cy="144000"/>
          </a:xfrm>
          <a:prstGeom prst="roundRect">
            <a:avLst>
              <a:gd name="adj" fmla="val 0"/>
            </a:avLst>
          </a:prstGeom>
          <a:solidFill>
            <a:schemeClr val="bg1">
              <a:lumMod val="7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0" rIns="0" bIns="0" rtlCol="0" anchor="ctr"/>
          <a:lstStyle/>
          <a:p>
            <a:pPr marL="0" indent="0"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Arial" panose="020B0604020202020204" pitchFamily="34" charset="0"/>
              </a:rPr>
              <a:t>Info</a:t>
            </a:r>
          </a:p>
        </xdr:txBody>
      </xdr:sp>
    </xdr:grpSp>
    <xdr:clientData/>
  </xdr:twoCellAnchor>
  <xdr:twoCellAnchor>
    <xdr:from>
      <xdr:col>36</xdr:col>
      <xdr:colOff>0</xdr:colOff>
      <xdr:row>21</xdr:row>
      <xdr:rowOff>0</xdr:rowOff>
    </xdr:from>
    <xdr:to>
      <xdr:col>37</xdr:col>
      <xdr:colOff>289415</xdr:colOff>
      <xdr:row>24</xdr:row>
      <xdr:rowOff>99645</xdr:rowOff>
    </xdr:to>
    <xdr:grpSp>
      <xdr:nvGrpSpPr>
        <xdr:cNvPr id="136" name="BW_Text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29864538" y="4359519"/>
          <a:ext cx="5169146" cy="693126"/>
          <a:chOff x="7238999" y="18200151"/>
          <a:chExt cx="3861289" cy="753095"/>
        </a:xfrm>
      </xdr:grpSpPr>
      <xdr:sp macro="" textlink="" fLocksText="0">
        <xdr:nvSpPr>
          <xdr:cNvPr id="137" name="Textfeld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7304942" y="18200151"/>
            <a:ext cx="3795346" cy="753095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r>
              <a:rPr lang="de-DE" sz="1100" baseline="0">
                <a:solidFill>
                  <a:schemeClr val="tx1"/>
                </a:solidFill>
              </a:rPr>
              <a:t>          </a:t>
            </a:r>
            <a:endParaRPr lang="de-DE" sz="200" baseline="0">
              <a:solidFill>
                <a:schemeClr val="tx1"/>
              </a:solidFill>
            </a:endParaRPr>
          </a:p>
          <a:p>
            <a:r>
              <a:rPr lang="de-DE" sz="1100">
                <a:solidFill>
                  <a:schemeClr val="tx1"/>
                </a:solidFill>
              </a:rPr>
              <a:t>    </a:t>
            </a:r>
            <a:r>
              <a:rPr lang="de-DE" sz="1100" baseline="0">
                <a:solidFill>
                  <a:schemeClr val="tx1"/>
                </a:solidFill>
              </a:rPr>
              <a:t>      </a:t>
            </a:r>
            <a:endParaRPr lang="de-DE" sz="200">
              <a:solidFill>
                <a:schemeClr val="tx1"/>
              </a:solidFill>
            </a:endParaRPr>
          </a:p>
          <a:p>
            <a:r>
              <a:rPr lang="de-DE" sz="1100" baseline="0">
                <a:solidFill>
                  <a:schemeClr val="tx1"/>
                </a:solidFill>
              </a:rPr>
              <a:t>          </a:t>
            </a:r>
            <a:endParaRPr lang="de-DE" sz="1100">
              <a:solidFill>
                <a:schemeClr val="tx1"/>
              </a:solidFill>
            </a:endParaRPr>
          </a:p>
        </xdr:txBody>
      </xdr:sp>
      <xdr:sp macro="[0]!BW_TEK" textlink="" fLocksText="0">
        <xdr:nvSpPr>
          <xdr:cNvPr id="138" name="Rechteck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7340041" y="18249079"/>
            <a:ext cx="3707999" cy="180000"/>
          </a:xfrm>
          <a:prstGeom prst="rect">
            <a:avLst/>
          </a:prstGeom>
          <a:solidFill>
            <a:schemeClr val="bg1">
              <a:lumMod val="8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TEK</a:t>
            </a:r>
            <a:r>
              <a:rPr lang="de-DE" sz="11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de-DE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=  </a:t>
            </a:r>
            <a:r>
              <a:rPr lang="de-DE" sz="11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Te</a:t>
            </a:r>
            <a:r>
              <a:rPr lang="de-DE" sz="110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chnische </a:t>
            </a:r>
            <a:r>
              <a:rPr lang="de-DE" sz="11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K</a:t>
            </a:r>
            <a:r>
              <a:rPr lang="de-DE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orrektur (Nicht bestandteil des Auftrags)</a:t>
            </a:r>
            <a:endParaRPr lang="de-DE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</xdr:txBody>
      </xdr:sp>
      <xdr:sp macro="[0]!BW_TEA" textlink="" fLocksText="0">
        <xdr:nvSpPr>
          <xdr:cNvPr id="139" name="Rechteck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7342960" y="18485869"/>
            <a:ext cx="3707999" cy="180000"/>
          </a:xfrm>
          <a:prstGeom prst="rect">
            <a:avLst/>
          </a:prstGeom>
          <a:solidFill>
            <a:schemeClr val="bg1">
              <a:lumMod val="8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TEA</a:t>
            </a:r>
            <a:r>
              <a:rPr lang="de-DE" sz="11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de-DE" sz="11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=  </a:t>
            </a:r>
            <a:r>
              <a:rPr lang="de-DE" sz="11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Te</a:t>
            </a:r>
            <a:r>
              <a:rPr lang="de-DE" sz="110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chnische </a:t>
            </a:r>
            <a:r>
              <a:rPr lang="de-DE" sz="11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de-DE" sz="110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bstimmung </a:t>
            </a:r>
            <a:r>
              <a:rPr lang="de-DE" sz="11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(Bestandteil des Auftrags)</a:t>
            </a:r>
            <a:endParaRPr lang="de-DE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</xdr:txBody>
      </xdr:sp>
      <xdr:sp macro="[0]!BW_KMU" textlink="" fLocksText="0">
        <xdr:nvSpPr>
          <xdr:cNvPr id="140" name="Rechteck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/>
        </xdr:nvSpPr>
        <xdr:spPr>
          <a:xfrm>
            <a:off x="7351132" y="18726503"/>
            <a:ext cx="3707999" cy="180000"/>
          </a:xfrm>
          <a:prstGeom prst="rect">
            <a:avLst/>
          </a:prstGeom>
          <a:solidFill>
            <a:schemeClr val="bg1">
              <a:lumMod val="85000"/>
            </a:schemeClr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l"/>
            <a:r>
              <a:rPr lang="de-DE" sz="1100" b="1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KMU</a:t>
            </a:r>
            <a:r>
              <a:rPr lang="de-DE" sz="1100" b="1">
                <a:solidFill>
                  <a:srgbClr val="007CB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de-DE" sz="11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=  </a:t>
            </a:r>
            <a:r>
              <a:rPr lang="de-DE" sz="11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K</a:t>
            </a:r>
            <a:r>
              <a:rPr lang="de-DE" sz="110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rorrektur</a:t>
            </a:r>
            <a:r>
              <a:rPr lang="de-DE" sz="110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de-DE" sz="11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MU</a:t>
            </a:r>
            <a:r>
              <a:rPr lang="de-DE" sz="110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de-DE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(Auftrag seitens MU nicht korrekt ausgeführt/kommuniziert)</a:t>
            </a:r>
            <a:endParaRPr lang="de-DE" sz="11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41" name="Pfeil: nach links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SpPr/>
        </xdr:nvSpPr>
        <xdr:spPr>
          <a:xfrm>
            <a:off x="7238999" y="18220488"/>
            <a:ext cx="136826" cy="128130"/>
          </a:xfrm>
          <a:prstGeom prst="leftArrow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oneCellAnchor>
    <xdr:from>
      <xdr:col>1</xdr:col>
      <xdr:colOff>183567</xdr:colOff>
      <xdr:row>107</xdr:row>
      <xdr:rowOff>173184</xdr:rowOff>
    </xdr:from>
    <xdr:ext cx="5772123" cy="900000"/>
    <xdr:sp macro="[0]!Textfeld_Schutz" textlink="">
      <xdr:nvSpPr>
        <xdr:cNvPr id="26" name="D_X_frei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11105" y="22586242"/>
          <a:ext cx="5772123" cy="900000"/>
        </a:xfrm>
        <a:prstGeom prst="rect">
          <a:avLst/>
        </a:prstGeom>
        <a:solidFill>
          <a:schemeClr val="lt1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Hiermit bestätige ich, das ich von den enthaltenen Technischen Änderungen einschl. Mehrkosten zur Kenntnis 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genommen habe und bestätige mit meiner Unterschrift, dass ich </a:t>
          </a:r>
          <a:r>
            <a:rPr lang="de-DE" sz="800" b="1" u="sng">
              <a:latin typeface="Arial" panose="020B0604020202020204" pitchFamily="34" charset="0"/>
              <a:cs typeface="Arial" panose="020B0604020202020204" pitchFamily="34" charset="0"/>
            </a:rPr>
            <a:t>alle Positionen die mit einem "X" </a:t>
          </a:r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gekennzeichnet 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sind anerkenne und diese für die weitere Produktion des Fahrzeugs freigebe.</a:t>
          </a:r>
        </a:p>
        <a:p>
          <a:pPr algn="ctr"/>
          <a:endParaRPr lang="de-DE" sz="5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de-DE" sz="8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Wenn Positionen bereits freigegeben wurden, sind diese mit einem </a:t>
          </a:r>
          <a:r>
            <a:rPr lang="de-DE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</a:t>
          </a:r>
          <a:r>
            <a:rPr lang="de-DE" sz="1200" b="1" normalizeH="1" baseline="0">
              <a:solidFill>
                <a:schemeClr val="dk1"/>
              </a:solidFill>
              <a:effectLst/>
              <a:latin typeface="Wingdings 2" panose="05020102010507070707" pitchFamily="18" charset="2"/>
              <a:ea typeface="+mn-ea"/>
              <a:cs typeface="Arial" panose="020B0604020202020204" pitchFamily="34" charset="0"/>
            </a:rPr>
            <a:t>P</a:t>
          </a:r>
          <a:r>
            <a:rPr lang="de-DE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 gekennzeichnet.</a:t>
          </a:r>
        </a:p>
      </xdr:txBody>
    </xdr:sp>
    <xdr:clientData/>
  </xdr:oneCellAnchor>
  <xdr:twoCellAnchor>
    <xdr:from>
      <xdr:col>21</xdr:col>
      <xdr:colOff>13854</xdr:colOff>
      <xdr:row>5</xdr:row>
      <xdr:rowOff>13850</xdr:rowOff>
    </xdr:from>
    <xdr:to>
      <xdr:col>23</xdr:col>
      <xdr:colOff>20782</xdr:colOff>
      <xdr:row>9</xdr:row>
      <xdr:rowOff>152397</xdr:rowOff>
    </xdr:to>
    <xdr:grpSp>
      <xdr:nvGrpSpPr>
        <xdr:cNvPr id="19" name="Keine_Freigabe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>
          <a:grpSpLocks noChangeAspect="1"/>
        </xdr:cNvGrpSpPr>
      </xdr:nvGrpSpPr>
      <xdr:grpSpPr>
        <a:xfrm>
          <a:off x="5831431" y="1501215"/>
          <a:ext cx="578428" cy="797970"/>
          <a:chOff x="7225146" y="1551710"/>
          <a:chExt cx="602673" cy="810492"/>
        </a:xfrm>
      </xdr:grpSpPr>
      <xdr:sp macro="[0]!Freigabe_Schutz" textlink="">
        <xdr:nvSpPr>
          <xdr:cNvPr id="43" name="Rechteck: abgerundete Ecken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7225146" y="1551710"/>
            <a:ext cx="602673" cy="810492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de-DE" sz="9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Keine</a:t>
            </a:r>
          </a:p>
          <a:p>
            <a:pPr algn="ctr"/>
            <a:r>
              <a:rPr lang="de-DE" sz="9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Freigabe</a:t>
            </a:r>
          </a:p>
        </xdr:txBody>
      </xdr:sp>
      <xdr:pic macro="[0]!Freigabe_Schutz">
        <xdr:nvPicPr>
          <xdr:cNvPr id="12" name="Grafik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42910" y="189807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14653</xdr:colOff>
      <xdr:row>5</xdr:row>
      <xdr:rowOff>14654</xdr:rowOff>
    </xdr:from>
    <xdr:to>
      <xdr:col>23</xdr:col>
      <xdr:colOff>21581</xdr:colOff>
      <xdr:row>9</xdr:row>
      <xdr:rowOff>148405</xdr:rowOff>
    </xdr:to>
    <xdr:grpSp>
      <xdr:nvGrpSpPr>
        <xdr:cNvPr id="64" name="Teilfreigabe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pSpPr/>
      </xdr:nvGrpSpPr>
      <xdr:grpSpPr>
        <a:xfrm>
          <a:off x="5832230" y="1502019"/>
          <a:ext cx="578428" cy="793174"/>
          <a:chOff x="7592291" y="3138054"/>
          <a:chExt cx="602673" cy="810492"/>
        </a:xfrm>
      </xdr:grpSpPr>
      <xdr:sp macro="" textlink="">
        <xdr:nvSpPr>
          <xdr:cNvPr id="65" name="Rechteck: abgerundete Ecken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7592291" y="3138054"/>
            <a:ext cx="602673" cy="810492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de-DE" sz="9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Teil-</a:t>
            </a:r>
          </a:p>
          <a:p>
            <a:pPr algn="ctr"/>
            <a:r>
              <a:rPr lang="de-DE" sz="9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freigabe</a:t>
            </a:r>
          </a:p>
        </xdr:txBody>
      </xdr:sp>
      <xdr:pic>
        <xdr:nvPicPr>
          <xdr:cNvPr id="70" name="Grafik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10055" y="348229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13856</xdr:colOff>
      <xdr:row>5</xdr:row>
      <xdr:rowOff>13850</xdr:rowOff>
    </xdr:from>
    <xdr:to>
      <xdr:col>23</xdr:col>
      <xdr:colOff>20784</xdr:colOff>
      <xdr:row>9</xdr:row>
      <xdr:rowOff>152397</xdr:rowOff>
    </xdr:to>
    <xdr:grpSp>
      <xdr:nvGrpSpPr>
        <xdr:cNvPr id="20" name="Kompl._Freigab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831433" y="1501215"/>
          <a:ext cx="578428" cy="797970"/>
          <a:chOff x="7308273" y="3103418"/>
          <a:chExt cx="602673" cy="810492"/>
        </a:xfrm>
      </xdr:grpSpPr>
      <xdr:sp macro="[0]!Freigabe_Schutz" textlink="">
        <xdr:nvSpPr>
          <xdr:cNvPr id="52" name="Rechteck: abgerundete Ecken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7308273" y="3103418"/>
            <a:ext cx="602673" cy="810492"/>
          </a:xfrm>
          <a:prstGeom prst="roundRect">
            <a:avLst/>
          </a:prstGeom>
          <a:solidFill>
            <a:schemeClr val="bg1">
              <a:lumMod val="65000"/>
            </a:schemeClr>
          </a:solidFill>
          <a:ln w="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de-DE" sz="9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Kompl.</a:t>
            </a:r>
          </a:p>
          <a:p>
            <a:pPr algn="ctr"/>
            <a:r>
              <a:rPr lang="de-DE" sz="9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Freigabe</a:t>
            </a:r>
          </a:p>
        </xdr:txBody>
      </xdr:sp>
      <xdr:pic macro="[0]!Freigabe_Schutz">
        <xdr:nvPicPr>
          <xdr:cNvPr id="14" name="Grafik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19105" y="3442854"/>
            <a:ext cx="374400" cy="374400"/>
          </a:xfrm>
          <a:prstGeom prst="rect">
            <a:avLst/>
          </a:prstGeom>
          <a:ln w="0">
            <a:solidFill>
              <a:schemeClr val="tx1">
                <a:lumMod val="65000"/>
                <a:lumOff val="35000"/>
              </a:schemeClr>
            </a:solidFill>
          </a:ln>
        </xdr:spPr>
      </xdr:pic>
    </xdr:grpSp>
    <xdr:clientData/>
  </xdr:twoCellAnchor>
  <xdr:oneCellAnchor>
    <xdr:from>
      <xdr:col>1</xdr:col>
      <xdr:colOff>212881</xdr:colOff>
      <xdr:row>107</xdr:row>
      <xdr:rowOff>173181</xdr:rowOff>
    </xdr:from>
    <xdr:ext cx="5772123" cy="900000"/>
    <xdr:sp macro="[0]!Textfeld_Schutz" textlink="">
      <xdr:nvSpPr>
        <xdr:cNvPr id="29" name="D_all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740419" y="22586239"/>
          <a:ext cx="5772123" cy="900000"/>
        </a:xfrm>
        <a:prstGeom prst="rect">
          <a:avLst/>
        </a:prstGeom>
        <a:solidFill>
          <a:schemeClr val="lt1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Hiermit bestätige ich, das ich von den enthaltenen Technischen Änderungen einschl. Mehrkosten Kenntnis 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genommen habe und bestätige mit meiner Unterschrift, dass ich </a:t>
          </a:r>
          <a:r>
            <a:rPr lang="de-DE" sz="800" b="1" u="sng">
              <a:latin typeface="Arial" panose="020B0604020202020204" pitchFamily="34" charset="0"/>
              <a:cs typeface="Arial" panose="020B0604020202020204" pitchFamily="34" charset="0"/>
            </a:rPr>
            <a:t>alle Positionen</a:t>
          </a:r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 anerkenne</a:t>
          </a:r>
        </a:p>
        <a:p>
          <a:pPr algn="ctr"/>
          <a:r>
            <a:rPr lang="de-DE" sz="800">
              <a:latin typeface="Arial" panose="020B0604020202020204" pitchFamily="34" charset="0"/>
              <a:cs typeface="Arial" panose="020B0604020202020204" pitchFamily="34" charset="0"/>
            </a:rPr>
            <a:t>und diese für die weitere Produktion des Fahrzeugs freigebe.</a:t>
          </a:r>
        </a:p>
      </xdr:txBody>
    </xdr:sp>
    <xdr:clientData/>
  </xdr:oneCellAnchor>
  <xdr:twoCellAnchor>
    <xdr:from>
      <xdr:col>20</xdr:col>
      <xdr:colOff>228600</xdr:colOff>
      <xdr:row>4</xdr:row>
      <xdr:rowOff>159325</xdr:rowOff>
    </xdr:from>
    <xdr:to>
      <xdr:col>23</xdr:col>
      <xdr:colOff>41564</xdr:colOff>
      <xdr:row>9</xdr:row>
      <xdr:rowOff>187034</xdr:rowOff>
    </xdr:to>
    <xdr:sp macro="[0]!Freigabe_Schutz" textlink="">
      <xdr:nvSpPr>
        <xdr:cNvPr id="2" name="Le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79127" y="1489361"/>
          <a:ext cx="706582" cy="893618"/>
        </a:xfrm>
        <a:prstGeom prst="rect">
          <a:avLst/>
        </a:prstGeom>
        <a:solidFill>
          <a:schemeClr val="bg1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1</xdr:col>
      <xdr:colOff>374077</xdr:colOff>
      <xdr:row>107</xdr:row>
      <xdr:rowOff>173184</xdr:rowOff>
    </xdr:from>
    <xdr:ext cx="5772123" cy="900000"/>
    <xdr:sp macro="[0]!Textfeld_Schutz" textlink="">
      <xdr:nvSpPr>
        <xdr:cNvPr id="32" name="Blank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073732" y="17526002"/>
          <a:ext cx="5760000" cy="900000"/>
        </a:xfrm>
        <a:prstGeom prst="rect">
          <a:avLst/>
        </a:prstGeom>
        <a:solidFill>
          <a:schemeClr val="bg1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800" b="0" u="none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880898</xdr:colOff>
      <xdr:row>14</xdr:row>
      <xdr:rowOff>95597</xdr:rowOff>
    </xdr:from>
    <xdr:to>
      <xdr:col>9</xdr:col>
      <xdr:colOff>1062378</xdr:colOff>
      <xdr:row>14</xdr:row>
      <xdr:rowOff>253405</xdr:rowOff>
    </xdr:to>
    <xdr:sp macro="" textlink="">
      <xdr:nvSpPr>
        <xdr:cNvPr id="2" name="UM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648958" y="2442557"/>
          <a:ext cx="181480" cy="157808"/>
        </a:xfrm>
        <a:prstGeom prst="hexagon">
          <a:avLst/>
        </a:prstGeom>
        <a:solidFill>
          <a:srgbClr val="FFFF00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0000" rtlCol="0" anchor="ctr"/>
        <a:lstStyle/>
        <a:p>
          <a:pPr marL="0" indent="0" algn="ctr"/>
          <a:endParaRPr lang="de-DE" sz="800" b="1">
            <a:solidFill>
              <a:schemeClr val="tx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809625</xdr:colOff>
          <xdr:row>15</xdr:row>
          <xdr:rowOff>152400</xdr:rowOff>
        </xdr:from>
        <xdr:to>
          <xdr:col>9</xdr:col>
          <xdr:colOff>1171575</xdr:colOff>
          <xdr:row>15</xdr:row>
          <xdr:rowOff>466725</xdr:rowOff>
        </xdr:to>
        <xdr:sp macro="" textlink="">
          <xdr:nvSpPr>
            <xdr:cNvPr id="6145" name="UM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891540</xdr:colOff>
      <xdr:row>14</xdr:row>
      <xdr:rowOff>68580</xdr:rowOff>
    </xdr:from>
    <xdr:to>
      <xdr:col>1</xdr:col>
      <xdr:colOff>1053465</xdr:colOff>
      <xdr:row>14</xdr:row>
      <xdr:rowOff>211455</xdr:rowOff>
    </xdr:to>
    <xdr:sp macro="" textlink="">
      <xdr:nvSpPr>
        <xdr:cNvPr id="4" name="FHB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101340" y="2415540"/>
          <a:ext cx="161925" cy="142875"/>
        </a:xfrm>
        <a:prstGeom prst="plaque">
          <a:avLst/>
        </a:prstGeom>
        <a:solidFill>
          <a:srgbClr val="FFCCCC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0000" rtlCol="0" anchor="ctr" anchorCtr="1"/>
        <a:lstStyle/>
        <a:p>
          <a:pPr algn="l"/>
          <a:endParaRPr lang="de-DE" sz="8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586740</xdr:colOff>
      <xdr:row>14</xdr:row>
      <xdr:rowOff>99060</xdr:rowOff>
    </xdr:from>
    <xdr:to>
      <xdr:col>12</xdr:col>
      <xdr:colOff>776548</xdr:colOff>
      <xdr:row>14</xdr:row>
      <xdr:rowOff>238990</xdr:rowOff>
    </xdr:to>
    <xdr:sp macro="" textlink="">
      <xdr:nvSpPr>
        <xdr:cNvPr id="8" name="RBL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4559260" y="2446020"/>
          <a:ext cx="189808" cy="139930"/>
        </a:xfrm>
        <a:prstGeom prst="homePlate">
          <a:avLst/>
        </a:prstGeom>
        <a:solidFill>
          <a:srgbClr val="FF7575"/>
        </a:solidFill>
        <a:ln w="19050"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lIns="108000" rtlCol="0" anchor="ctr" anchorCtr="1"/>
        <a:lstStyle/>
        <a:p>
          <a:pPr algn="l"/>
          <a:endParaRPr lang="de-DE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894298</xdr:colOff>
      <xdr:row>14</xdr:row>
      <xdr:rowOff>66798</xdr:rowOff>
    </xdr:from>
    <xdr:to>
      <xdr:col>2</xdr:col>
      <xdr:colOff>1068619</xdr:colOff>
      <xdr:row>14</xdr:row>
      <xdr:rowOff>241299</xdr:rowOff>
    </xdr:to>
    <xdr:sp macro="" textlink="">
      <xdr:nvSpPr>
        <xdr:cNvPr id="9" name="RUK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/>
        </xdr:cNvSpPr>
      </xdr:nvSpPr>
      <xdr:spPr>
        <a:xfrm>
          <a:off x="5161498" y="2413758"/>
          <a:ext cx="174321" cy="174501"/>
        </a:xfrm>
        <a:prstGeom prst="star24">
          <a:avLst>
            <a:gd name="adj" fmla="val 41346"/>
          </a:avLst>
        </a:prstGeom>
        <a:solidFill>
          <a:srgbClr val="FFFF00"/>
        </a:solidFill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868680</xdr:colOff>
      <xdr:row>14</xdr:row>
      <xdr:rowOff>68580</xdr:rowOff>
    </xdr:from>
    <xdr:to>
      <xdr:col>0</xdr:col>
      <xdr:colOff>1036320</xdr:colOff>
      <xdr:row>14</xdr:row>
      <xdr:rowOff>236395</xdr:rowOff>
    </xdr:to>
    <xdr:sp macro="" textlink="" fLocksText="0">
      <xdr:nvSpPr>
        <xdr:cNvPr id="10" name="ASW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68680" y="2396144"/>
          <a:ext cx="167640" cy="167815"/>
        </a:xfrm>
        <a:prstGeom prst="flowChartConnector">
          <a:avLst/>
        </a:prstGeom>
        <a:solidFill>
          <a:srgbClr val="99FF66"/>
        </a:solidFill>
        <a:ln w="222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891540</xdr:colOff>
      <xdr:row>14</xdr:row>
      <xdr:rowOff>76200</xdr:rowOff>
    </xdr:from>
    <xdr:to>
      <xdr:col>8</xdr:col>
      <xdr:colOff>1070005</xdr:colOff>
      <xdr:row>14</xdr:row>
      <xdr:rowOff>227302</xdr:rowOff>
    </xdr:to>
    <xdr:sp macro="" textlink="">
      <xdr:nvSpPr>
        <xdr:cNvPr id="11" name="RFK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7526000" y="2423160"/>
          <a:ext cx="178465" cy="151102"/>
        </a:xfrm>
        <a:prstGeom prst="flowChartDelay">
          <a:avLst/>
        </a:prstGeom>
        <a:solidFill>
          <a:srgbClr val="FFC000"/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0000" rtlCol="0" anchor="ctr" anchorCtr="0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944880</xdr:colOff>
      <xdr:row>14</xdr:row>
      <xdr:rowOff>68580</xdr:rowOff>
    </xdr:from>
    <xdr:to>
      <xdr:col>7</xdr:col>
      <xdr:colOff>1123345</xdr:colOff>
      <xdr:row>14</xdr:row>
      <xdr:rowOff>219682</xdr:rowOff>
    </xdr:to>
    <xdr:sp macro="" textlink="">
      <xdr:nvSpPr>
        <xdr:cNvPr id="12" name="RF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5133320" y="2415540"/>
          <a:ext cx="178465" cy="151102"/>
        </a:xfrm>
        <a:prstGeom prst="flowChartDelay">
          <a:avLst/>
        </a:prstGeom>
        <a:solidFill>
          <a:srgbClr val="FFC000"/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0000" rtlCol="0" anchor="ctr" anchorCtr="0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556260</xdr:colOff>
      <xdr:row>14</xdr:row>
      <xdr:rowOff>76200</xdr:rowOff>
    </xdr:from>
    <xdr:to>
      <xdr:col>3</xdr:col>
      <xdr:colOff>777933</xdr:colOff>
      <xdr:row>14</xdr:row>
      <xdr:rowOff>256309</xdr:rowOff>
    </xdr:to>
    <xdr:sp macro="" textlink="">
      <xdr:nvSpPr>
        <xdr:cNvPr id="16" name="SP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957060" y="2423160"/>
          <a:ext cx="221673" cy="180109"/>
        </a:xfrm>
        <a:prstGeom prst="diamond">
          <a:avLst/>
        </a:prstGeom>
        <a:solidFill>
          <a:srgbClr val="99FF66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97200" rtlCol="0" anchor="ctr" anchorCtr="1"/>
        <a:lstStyle/>
        <a:p>
          <a:pPr algn="l"/>
          <a:endParaRPr lang="de-DE" sz="8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929640</xdr:colOff>
      <xdr:row>14</xdr:row>
      <xdr:rowOff>83820</xdr:rowOff>
    </xdr:from>
    <xdr:to>
      <xdr:col>4</xdr:col>
      <xdr:colOff>1097280</xdr:colOff>
      <xdr:row>14</xdr:row>
      <xdr:rowOff>251635</xdr:rowOff>
    </xdr:to>
    <xdr:sp macro="" textlink="" fLocksText="0">
      <xdr:nvSpPr>
        <xdr:cNvPr id="17" name="ASW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8869680" y="2430780"/>
          <a:ext cx="167640" cy="167815"/>
        </a:xfrm>
        <a:prstGeom prst="flowChartConnector">
          <a:avLst/>
        </a:prstGeom>
        <a:solidFill>
          <a:srgbClr val="99FF66"/>
        </a:solidFill>
        <a:ln w="222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5</xdr:col>
      <xdr:colOff>967740</xdr:colOff>
      <xdr:row>14</xdr:row>
      <xdr:rowOff>91440</xdr:rowOff>
    </xdr:from>
    <xdr:to>
      <xdr:col>5</xdr:col>
      <xdr:colOff>1135380</xdr:colOff>
      <xdr:row>14</xdr:row>
      <xdr:rowOff>259255</xdr:rowOff>
    </xdr:to>
    <xdr:sp macro="" textlink="" fLocksText="0">
      <xdr:nvSpPr>
        <xdr:cNvPr id="18" name="ASW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1117580" y="2438400"/>
          <a:ext cx="167640" cy="167815"/>
        </a:xfrm>
        <a:prstGeom prst="flowChartConnector">
          <a:avLst/>
        </a:prstGeom>
        <a:solidFill>
          <a:srgbClr val="99FF66"/>
        </a:solidFill>
        <a:ln w="222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10</xdr:col>
      <xdr:colOff>975360</xdr:colOff>
      <xdr:row>14</xdr:row>
      <xdr:rowOff>83820</xdr:rowOff>
    </xdr:from>
    <xdr:to>
      <xdr:col>10</xdr:col>
      <xdr:colOff>1123863</xdr:colOff>
      <xdr:row>14</xdr:row>
      <xdr:rowOff>237519</xdr:rowOff>
    </xdr:to>
    <xdr:sp macro="" textlink="">
      <xdr:nvSpPr>
        <xdr:cNvPr id="19" name="SB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spect="1"/>
        </xdr:cNvSpPr>
      </xdr:nvSpPr>
      <xdr:spPr>
        <a:xfrm>
          <a:off x="21971924" y="2827020"/>
          <a:ext cx="148503" cy="153699"/>
        </a:xfrm>
        <a:prstGeom prst="roundRect">
          <a:avLst>
            <a:gd name="adj" fmla="val 0"/>
          </a:avLst>
        </a:prstGeom>
        <a:solidFill>
          <a:srgbClr val="99CCFF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ctr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15</xdr:row>
          <xdr:rowOff>190500</xdr:rowOff>
        </xdr:from>
        <xdr:to>
          <xdr:col>10</xdr:col>
          <xdr:colOff>1257300</xdr:colOff>
          <xdr:row>15</xdr:row>
          <xdr:rowOff>504825</xdr:rowOff>
        </xdr:to>
        <xdr:sp macro="" textlink="">
          <xdr:nvSpPr>
            <xdr:cNvPr id="6146" name="SB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15</xdr:row>
          <xdr:rowOff>180975</xdr:rowOff>
        </xdr:from>
        <xdr:to>
          <xdr:col>11</xdr:col>
          <xdr:colOff>609600</xdr:colOff>
          <xdr:row>15</xdr:row>
          <xdr:rowOff>495300</xdr:rowOff>
        </xdr:to>
        <xdr:sp macro="" textlink="">
          <xdr:nvSpPr>
            <xdr:cNvPr id="6147" name="BB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15</xdr:row>
          <xdr:rowOff>247650</xdr:rowOff>
        </xdr:from>
        <xdr:to>
          <xdr:col>6</xdr:col>
          <xdr:colOff>1066800</xdr:colOff>
          <xdr:row>15</xdr:row>
          <xdr:rowOff>561975</xdr:rowOff>
        </xdr:to>
        <xdr:sp macro="" textlink="">
          <xdr:nvSpPr>
            <xdr:cNvPr id="6148" name="LED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552450</xdr:colOff>
          <xdr:row>15</xdr:row>
          <xdr:rowOff>133350</xdr:rowOff>
        </xdr:from>
        <xdr:to>
          <xdr:col>12</xdr:col>
          <xdr:colOff>914400</xdr:colOff>
          <xdr:row>15</xdr:row>
          <xdr:rowOff>447675</xdr:rowOff>
        </xdr:to>
        <xdr:sp macro="" textlink="">
          <xdr:nvSpPr>
            <xdr:cNvPr id="6150" name="RB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809625</xdr:colOff>
          <xdr:row>15</xdr:row>
          <xdr:rowOff>152400</xdr:rowOff>
        </xdr:from>
        <xdr:to>
          <xdr:col>8</xdr:col>
          <xdr:colOff>1171575</xdr:colOff>
          <xdr:row>15</xdr:row>
          <xdr:rowOff>466725</xdr:rowOff>
        </xdr:to>
        <xdr:sp macro="" textlink="">
          <xdr:nvSpPr>
            <xdr:cNvPr id="6151" name="RFK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15</xdr:row>
          <xdr:rowOff>152400</xdr:rowOff>
        </xdr:from>
        <xdr:to>
          <xdr:col>0</xdr:col>
          <xdr:colOff>1171575</xdr:colOff>
          <xdr:row>15</xdr:row>
          <xdr:rowOff>466725</xdr:rowOff>
        </xdr:to>
        <xdr:sp macro="" textlink="">
          <xdr:nvSpPr>
            <xdr:cNvPr id="6152" name="ASW1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15</xdr:row>
          <xdr:rowOff>152400</xdr:rowOff>
        </xdr:from>
        <xdr:to>
          <xdr:col>1</xdr:col>
          <xdr:colOff>1171575</xdr:colOff>
          <xdr:row>15</xdr:row>
          <xdr:rowOff>466725</xdr:rowOff>
        </xdr:to>
        <xdr:sp macro="" textlink="">
          <xdr:nvSpPr>
            <xdr:cNvPr id="6153" name="FHB1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2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15</xdr:row>
          <xdr:rowOff>152400</xdr:rowOff>
        </xdr:from>
        <xdr:to>
          <xdr:col>2</xdr:col>
          <xdr:colOff>1171575</xdr:colOff>
          <xdr:row>15</xdr:row>
          <xdr:rowOff>466725</xdr:rowOff>
        </xdr:to>
        <xdr:sp macro="" textlink="">
          <xdr:nvSpPr>
            <xdr:cNvPr id="6154" name="RUK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15</xdr:row>
          <xdr:rowOff>180975</xdr:rowOff>
        </xdr:from>
        <xdr:to>
          <xdr:col>3</xdr:col>
          <xdr:colOff>847725</xdr:colOff>
          <xdr:row>15</xdr:row>
          <xdr:rowOff>495300</xdr:rowOff>
        </xdr:to>
        <xdr:sp macro="" textlink="">
          <xdr:nvSpPr>
            <xdr:cNvPr id="6155" name="SPO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685800</xdr:colOff>
      <xdr:row>14</xdr:row>
      <xdr:rowOff>83129</xdr:rowOff>
    </xdr:from>
    <xdr:to>
      <xdr:col>6</xdr:col>
      <xdr:colOff>935183</xdr:colOff>
      <xdr:row>14</xdr:row>
      <xdr:rowOff>235528</xdr:rowOff>
    </xdr:to>
    <xdr:sp macro="" textlink="">
      <xdr:nvSpPr>
        <xdr:cNvPr id="45" name="LED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3044055" y="2826329"/>
          <a:ext cx="249383" cy="152399"/>
        </a:xfrm>
        <a:prstGeom prst="rightArrowCallout">
          <a:avLst>
            <a:gd name="adj1" fmla="val 36666"/>
            <a:gd name="adj2" fmla="val 18333"/>
            <a:gd name="adj3" fmla="val 0"/>
            <a:gd name="adj4" fmla="val 58181"/>
          </a:avLst>
        </a:prstGeom>
        <a:solidFill>
          <a:srgbClr val="99CCFF"/>
        </a:solidFill>
        <a:ln w="19050" cap="rnd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242456</xdr:colOff>
      <xdr:row>14</xdr:row>
      <xdr:rowOff>83127</xdr:rowOff>
    </xdr:from>
    <xdr:to>
      <xdr:col>11</xdr:col>
      <xdr:colOff>491839</xdr:colOff>
      <xdr:row>14</xdr:row>
      <xdr:rowOff>235526</xdr:rowOff>
    </xdr:to>
    <xdr:sp macro="" textlink="">
      <xdr:nvSpPr>
        <xdr:cNvPr id="46" name="BB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455747" y="2826327"/>
          <a:ext cx="249383" cy="152399"/>
        </a:xfrm>
        <a:prstGeom prst="rightArrowCallout">
          <a:avLst>
            <a:gd name="adj1" fmla="val 36666"/>
            <a:gd name="adj2" fmla="val 18333"/>
            <a:gd name="adj3" fmla="val 0"/>
            <a:gd name="adj4" fmla="val 58181"/>
          </a:avLst>
        </a:prstGeom>
        <a:solidFill>
          <a:srgbClr val="FFFF00"/>
        </a:solidFill>
        <a:ln w="19050" cap="rnd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endParaRPr lang="de-DE" sz="8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uswertung" displayName="Auswertung" ref="A1:N2" totalsRowShown="0">
  <autoFilter ref="A1:N2" xr:uid="{00000000-0009-0000-0100-000001000000}"/>
  <tableColumns count="14">
    <tableColumn id="1" xr3:uid="{00000000-0010-0000-0000-000001000000}" name="Kunde" dataDxfId="51"/>
    <tableColumn id="2" xr3:uid="{00000000-0010-0000-0000-000002000000}" name="Aufbautyp" dataDxfId="50"/>
    <tableColumn id="17" xr3:uid="{00000000-0010-0000-0000-000011000000}" name="Datum" dataDxfId="49"/>
    <tableColumn id="3" xr3:uid="{00000000-0010-0000-0000-000003000000}" name="Auftrags- Nr" dataDxfId="48"/>
    <tableColumn id="4" xr3:uid="{00000000-0010-0000-0000-000004000000}" name="Vertriebsgebiet" dataDxfId="47"/>
    <tableColumn id="6" xr3:uid="{00000000-0010-0000-0000-000006000000}" name="Projektleiter MU" dataDxfId="46"/>
    <tableColumn id="11" xr3:uid="{00000000-0010-0000-0000-00000B000000}" name="RAP durchgeführt" dataDxfId="45"/>
    <tableColumn id="7" xr3:uid="{00000000-0010-0000-0000-000007000000}" name="TEA" dataDxfId="44"/>
    <tableColumn id="8" xr3:uid="{00000000-0010-0000-0000-000008000000}" name="TEK" dataDxfId="43"/>
    <tableColumn id="10" xr3:uid="{00000000-0010-0000-0000-00000A000000}" name="KMU" dataDxfId="42"/>
    <tableColumn id="19" xr3:uid="{00000000-0010-0000-0000-000013000000}" name="Gesamt" dataDxfId="41"/>
    <tableColumn id="14" xr3:uid="{00000000-0010-0000-0000-00000E000000}" name="€/TEA" dataDxfId="40"/>
    <tableColumn id="9" xr3:uid="{00000000-0010-0000-0000-000009000000}" name="€/TEK" dataDxfId="39"/>
    <tableColumn id="13" xr3:uid="{00000000-0010-0000-0000-00000D000000}" name="Netto Gesamt" dataDxfId="3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Lackierungen_u._Beschichtungen" displayName="Lackierungen_u._Beschichtungen" ref="A1:M2" totalsRowShown="0" headerRowDxfId="37" dataDxfId="36">
  <autoFilter ref="A1:M2" xr:uid="{00000000-0009-0000-0100-000005000000}"/>
  <tableColumns count="13">
    <tableColumn id="1" xr3:uid="{00000000-0010-0000-0100-000001000000}" name="Aufbau" dataDxfId="35"/>
    <tableColumn id="2" xr3:uid="{00000000-0010-0000-0100-000002000000}" name="Rahmen :" dataDxfId="34"/>
    <tableColumn id="3" xr3:uid="{00000000-0010-0000-0100-000003000000}" name="Schüttblende Außen" dataDxfId="33"/>
    <tableColumn id="4" xr3:uid="{00000000-0010-0000-0100-000004000000}" name="Schüttblende Innen" dataDxfId="32"/>
    <tableColumn id="5" xr3:uid="{00000000-0010-0000-0100-000005000000}" name="Klarlackschicht" dataDxfId="31"/>
    <tableColumn id="6" xr3:uid="{00000000-0010-0000-0100-000006000000}" name="Schrottkasten" dataDxfId="30"/>
    <tableColumn id="7" xr3:uid="{00000000-0010-0000-0100-000007000000}" name="Zinkstaubbeschichtung" dataDxfId="29"/>
    <tableColumn id="8" xr3:uid="{00000000-0010-0000-0100-000008000000}" name="Schränke oben" dataDxfId="28"/>
    <tableColumn id="9" xr3:uid="{00000000-0010-0000-0100-000009000000}" name="Schränke innen" dataDxfId="27"/>
    <tableColumn id="10" xr3:uid="{00000000-0010-0000-0100-00000A000000}" name="Schränke unten" dataDxfId="26"/>
    <tableColumn id="11" xr3:uid="{00000000-0010-0000-0100-00000B000000}" name="Kleiderschrank" dataDxfId="25"/>
    <tableColumn id="12" xr3:uid="{00000000-0010-0000-0100-00000C000000}" name="Behälter- Innenbeschichtung" dataDxfId="24"/>
    <tableColumn id="13" xr3:uid="{00000000-0010-0000-0100-00000D000000}" name="E- Kolbenbeschichtung" dataDxfId="2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Lackierungen_u._Beschichtungen3" displayName="Lackierungen_u._Beschichtungen3" ref="A1:F2" totalsRowShown="0" headerRowDxfId="22" dataDxfId="21">
  <autoFilter ref="A1:F2" xr:uid="{00000000-0009-0000-0100-000002000000}"/>
  <tableColumns count="6">
    <tableColumn id="8" xr3:uid="{00000000-0010-0000-0200-000008000000}" name="Standard Fahrzeugbeschriftung / MU" dataDxfId="20"/>
    <tableColumn id="9" xr3:uid="{00000000-0010-0000-0200-000009000000}" name="Fahrzeugbeschriftung FL u. HC / MU" dataDxfId="19"/>
    <tableColumn id="10" xr3:uid="{00000000-0010-0000-0200-00000A000000}" name="Sonderbeschriftung / MU" dataDxfId="18"/>
    <tableColumn id="11" xr3:uid="{00000000-0010-0000-0200-00000B000000}" name="Kundenspezifische Beschriftung zum Liefertermin" dataDxfId="17"/>
    <tableColumn id="12" xr3:uid="{00000000-0010-0000-0200-00000C000000}" name="Die Bestellung beim Lieferanten erfolgt durch" dataDxfId="16"/>
    <tableColumn id="13" xr3:uid="{00000000-0010-0000-0200-00000D000000}" name="Das Layout vom Kunden muss beigestellt sein bis" dataDxfId="1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Fahrzeugbeleuchtung" displayName="Fahrzeugbeleuchtung" ref="A1:F2" totalsRowShown="0" dataDxfId="14">
  <autoFilter ref="A1:F2" xr:uid="{00000000-0009-0000-0100-000008000000}"/>
  <tableColumns count="6">
    <tableColumn id="1" xr3:uid="{00000000-0010-0000-0300-000001000000}" name="Nr" dataDxfId="13"/>
    <tableColumn id="2" xr3:uid="{00000000-0010-0000-0300-000002000000}" name="Kategorie" dataDxfId="12"/>
    <tableColumn id="5" xr3:uid="{00000000-0010-0000-0300-000005000000}" name="Typ" dataDxfId="11"/>
    <tableColumn id="3" xr3:uid="{00000000-0010-0000-0300-000003000000}" name="Position" dataDxfId="10"/>
    <tableColumn id="4" xr3:uid="{00000000-0010-0000-0300-000004000000}" name="Bedienung vom1" dataDxfId="9"/>
    <tableColumn id="6" xr3:uid="{00000000-0010-0000-0300-000006000000}" name="Bedienung vom2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Zubehör" displayName="Zubehör" ref="A1:B2" totalsRowShown="0">
  <autoFilter ref="A1:B2" xr:uid="{00000000-0009-0000-0100-000009000000}"/>
  <tableColumns count="2">
    <tableColumn id="1" xr3:uid="{00000000-0010-0000-0400-000001000000}" name="Wird Zubehör vom Kunden beigestellt?" dataDxfId="7"/>
    <tableColumn id="2" xr3:uid="{00000000-0010-0000-0400-000002000000}" name="Zubehör vom Kunden muss beigestellt sein bis" dataDxf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Kabel_u._Funklayout" displayName="Kabel_u._Funklayout" ref="A1:A2" totalsRowShown="0" dataDxfId="5">
  <autoFilter ref="A1:A2" xr:uid="{00000000-0009-0000-0100-00000A000000}"/>
  <tableColumns count="1">
    <tableColumn id="1" xr3:uid="{00000000-0010-0000-0500-000001000000}" name="Hat sich das Kabel oder Funklayout geändert?" dataDxfId="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echn._Änderungen" displayName="Techn._Änderungen" ref="A1:D5" totalsRowShown="0">
  <autoFilter ref="A1:D5" xr:uid="{00000000-0009-0000-0100-000004000000}"/>
  <tableColumns count="4">
    <tableColumn id="1" xr3:uid="{00000000-0010-0000-0600-000001000000}" name="Nr" dataDxfId="3"/>
    <tableColumn id="2" xr3:uid="{00000000-0010-0000-0600-000002000000}" name="Techn. Änderungen" dataDxfId="2"/>
    <tableColumn id="3" xr3:uid="{00000000-0010-0000-0600-000003000000}" name="Preis in €" dataDxfId="1"/>
    <tableColumn id="4" xr3:uid="{00000000-0010-0000-0600-000004000000}" name="BW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7.xml"/><Relationship Id="rId17" Type="http://schemas.openxmlformats.org/officeDocument/2006/relationships/image" Target="../media/image1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10" Type="http://schemas.openxmlformats.org/officeDocument/2006/relationships/control" Target="../activeX/activeX6.xml"/><Relationship Id="rId19" Type="http://schemas.openxmlformats.org/officeDocument/2006/relationships/image" Target="../media/image20.emf"/><Relationship Id="rId4" Type="http://schemas.openxmlformats.org/officeDocument/2006/relationships/control" Target="../activeX/activeX3.xml"/><Relationship Id="rId9" Type="http://schemas.openxmlformats.org/officeDocument/2006/relationships/image" Target="../media/image1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B306"/>
  <sheetViews>
    <sheetView showGridLines="0" showRowColHeaders="0" showZeros="0" tabSelected="1" showRuler="0" topLeftCell="A39" zoomScale="130" zoomScaleNormal="130" zoomScaleSheetLayoutView="100" workbookViewId="0">
      <selection activeCell="J60" sqref="J60"/>
    </sheetView>
  </sheetViews>
  <sheetFormatPr baseColWidth="10" defaultColWidth="2" defaultRowHeight="12.75" x14ac:dyDescent="0.2"/>
  <cols>
    <col min="1" max="1" width="7.85546875" style="229" customWidth="1"/>
    <col min="2" max="2" width="5.7109375" style="10" customWidth="1"/>
    <col min="3" max="3" width="5.28515625" style="10" customWidth="1"/>
    <col min="4" max="8" width="3.85546875" style="10" customWidth="1"/>
    <col min="9" max="9" width="2.5703125" style="10" customWidth="1"/>
    <col min="10" max="20" width="3.85546875" style="10" customWidth="1"/>
    <col min="21" max="24" width="4.28515625" style="10" customWidth="1"/>
    <col min="25" max="25" width="7.7109375" style="14" hidden="1" customWidth="1"/>
    <col min="26" max="26" width="200.7109375" style="84" customWidth="1"/>
    <col min="27" max="27" width="7.7109375" style="75" customWidth="1"/>
    <col min="28" max="28" width="8.140625" style="75" bestFit="1" customWidth="1"/>
    <col min="29" max="29" width="7.42578125" style="75" bestFit="1" customWidth="1"/>
    <col min="30" max="30" width="9.85546875" style="75" bestFit="1" customWidth="1"/>
    <col min="31" max="31" width="7.7109375" style="220" customWidth="1"/>
    <col min="32" max="32" width="46.5703125" style="75" customWidth="1"/>
    <col min="33" max="33" width="8.85546875" style="70" bestFit="1" customWidth="1"/>
    <col min="34" max="34" width="7.7109375" style="60" customWidth="1"/>
    <col min="35" max="35" width="20.7109375" style="10" customWidth="1"/>
    <col min="36" max="36" width="22.140625" style="10" customWidth="1"/>
    <col min="37" max="37" width="73.140625" style="10" bestFit="1" customWidth="1"/>
    <col min="38" max="38" width="58.42578125" style="10" bestFit="1" customWidth="1"/>
    <col min="39" max="39" width="46.7109375" style="10" customWidth="1"/>
    <col min="40" max="40" width="21" style="10" customWidth="1"/>
    <col min="41" max="41" width="62.85546875" style="10" bestFit="1" customWidth="1"/>
    <col min="42" max="42" width="40.28515625" style="10" customWidth="1"/>
    <col min="43" max="55" width="2" style="10"/>
    <col min="56" max="58" width="4.28515625" style="10" customWidth="1"/>
    <col min="59" max="59" width="6.28515625" style="10" customWidth="1"/>
    <col min="60" max="60" width="2" style="10"/>
    <col min="61" max="61" width="5.5703125" style="10" bestFit="1" customWidth="1"/>
    <col min="62" max="62" width="2" style="10"/>
    <col min="63" max="63" width="4.5703125" style="10" bestFit="1" customWidth="1"/>
    <col min="64" max="64" width="4.7109375" style="10" bestFit="1" customWidth="1"/>
    <col min="65" max="65" width="5.140625" style="10" bestFit="1" customWidth="1"/>
    <col min="66" max="66" width="7.85546875" style="10" bestFit="1" customWidth="1"/>
    <col min="67" max="67" width="10.42578125" style="10" customWidth="1"/>
    <col min="68" max="68" width="12" style="10" customWidth="1"/>
    <col min="69" max="69" width="13.140625" style="10" bestFit="1" customWidth="1"/>
    <col min="70" max="78" width="2" style="10"/>
    <col min="79" max="79" width="18.140625" style="10" bestFit="1" customWidth="1"/>
    <col min="80" max="80" width="62.42578125" style="10" bestFit="1" customWidth="1"/>
    <col min="81" max="16384" width="2" style="10"/>
  </cols>
  <sheetData>
    <row r="1" spans="1:69" ht="64.5" customHeight="1" x14ac:dyDescent="0.2">
      <c r="A1" s="229">
        <v>1</v>
      </c>
      <c r="B1" s="311" t="str">
        <f>IF(A1=1,'1'!A70,'1'!B70)</f>
        <v>Rohbauabnahmeprotokoll</v>
      </c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3"/>
      <c r="Y1" s="70"/>
      <c r="Z1" s="182"/>
      <c r="AA1" s="75">
        <f>Z105</f>
        <v>0</v>
      </c>
      <c r="AB1" s="75">
        <f>AA105</f>
        <v>0</v>
      </c>
      <c r="AI1" s="180">
        <v>1</v>
      </c>
      <c r="AJ1" s="35" t="s">
        <v>311</v>
      </c>
      <c r="AK1" s="36" t="s">
        <v>312</v>
      </c>
      <c r="AL1" s="36" t="s">
        <v>313</v>
      </c>
      <c r="AM1" s="35">
        <f ca="1">YEAR(TODAY())</f>
        <v>2025</v>
      </c>
      <c r="AN1" s="10">
        <v>1</v>
      </c>
    </row>
    <row r="2" spans="1:69" s="21" customFormat="1" ht="7.5" customHeight="1" x14ac:dyDescent="0.2">
      <c r="A2" s="88">
        <v>0</v>
      </c>
      <c r="B2" s="189"/>
      <c r="C2" s="33"/>
      <c r="D2" s="33"/>
      <c r="E2" s="33"/>
      <c r="F2" s="33"/>
      <c r="G2" s="33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>
        <v>0</v>
      </c>
      <c r="T2" s="22"/>
      <c r="U2" s="22"/>
      <c r="V2" s="190"/>
      <c r="W2" s="190"/>
      <c r="X2" s="191"/>
      <c r="Y2" s="71"/>
      <c r="Z2" s="76"/>
      <c r="AA2" s="77"/>
      <c r="AB2" s="77"/>
      <c r="AC2" s="77"/>
      <c r="AD2" s="77"/>
      <c r="AE2" s="218"/>
      <c r="AF2" s="77"/>
      <c r="AG2" s="71"/>
      <c r="AH2" s="79"/>
      <c r="AI2" s="192" t="s">
        <v>278</v>
      </c>
      <c r="AJ2" s="193" t="s">
        <v>277</v>
      </c>
      <c r="AK2" s="35" t="str">
        <f ca="1">MID(AM1,1,2)&amp;MID(S3, 2, 2)</f>
        <v>20</v>
      </c>
      <c r="AL2" s="35">
        <f>S3</f>
        <v>0</v>
      </c>
      <c r="AM2" s="21" t="str">
        <f>MID(AK1,1,3)</f>
        <v>C:\</v>
      </c>
      <c r="AN2" s="176" t="s">
        <v>279</v>
      </c>
      <c r="AO2" s="195" t="s">
        <v>302</v>
      </c>
    </row>
    <row r="3" spans="1:69" s="21" customFormat="1" ht="15" customHeight="1" thickBot="1" x14ac:dyDescent="0.25">
      <c r="A3" s="229">
        <f>A68</f>
        <v>68</v>
      </c>
      <c r="B3" s="314" t="str">
        <f>IF(A1=1,'1'!A71,'1'!B71)</f>
        <v>Kunde :</v>
      </c>
      <c r="C3" s="315"/>
      <c r="D3" s="315"/>
      <c r="E3" s="315"/>
      <c r="F3" s="320"/>
      <c r="G3" s="320"/>
      <c r="H3" s="320"/>
      <c r="I3" s="320"/>
      <c r="J3" s="320"/>
      <c r="K3" s="320"/>
      <c r="L3" s="321"/>
      <c r="M3" s="320"/>
      <c r="N3" s="24"/>
      <c r="O3" s="279" t="str">
        <f>IF(A1=1,'1'!A74,'1'!B74)</f>
        <v>Auftrags- Nr.:</v>
      </c>
      <c r="P3" s="331"/>
      <c r="Q3" s="331"/>
      <c r="R3" s="280"/>
      <c r="S3" s="332"/>
      <c r="T3" s="332"/>
      <c r="U3" s="332"/>
      <c r="V3" s="332"/>
      <c r="W3" s="332"/>
      <c r="X3" s="332"/>
      <c r="Y3" s="71"/>
      <c r="Z3" s="76"/>
      <c r="AA3" s="77"/>
      <c r="AB3" s="77"/>
      <c r="AC3" s="77"/>
      <c r="AD3" s="77"/>
      <c r="AE3" s="218"/>
      <c r="AF3" s="77"/>
      <c r="AG3" s="71"/>
      <c r="AH3" s="79"/>
      <c r="AI3" s="175" t="s">
        <v>275</v>
      </c>
      <c r="AJ3" s="176" t="s">
        <v>276</v>
      </c>
      <c r="AK3" s="183" t="str">
        <f ca="1">AK2</f>
        <v>20</v>
      </c>
      <c r="AL3" s="183">
        <f>AL2</f>
        <v>0</v>
      </c>
      <c r="AM3" s="184" t="str">
        <f>AM2</f>
        <v>C:\</v>
      </c>
      <c r="AN3" s="176" t="s">
        <v>280</v>
      </c>
      <c r="AO3" s="175" t="s">
        <v>276</v>
      </c>
      <c r="BK3" s="207" t="s">
        <v>34</v>
      </c>
      <c r="BL3" s="207" t="s">
        <v>44</v>
      </c>
      <c r="BM3" s="207" t="s">
        <v>35</v>
      </c>
      <c r="BN3" s="207" t="s">
        <v>46</v>
      </c>
      <c r="BO3" s="207" t="s">
        <v>42</v>
      </c>
      <c r="BP3" s="207" t="s">
        <v>45</v>
      </c>
      <c r="BQ3" s="206" t="s">
        <v>41</v>
      </c>
    </row>
    <row r="4" spans="1:69" s="21" customFormat="1" ht="15" customHeight="1" thickTop="1" x14ac:dyDescent="0.2">
      <c r="A4" s="229">
        <f>A84</f>
        <v>84</v>
      </c>
      <c r="B4" s="314" t="str">
        <f>IF(A1=1,'1'!A72,'1'!B72)</f>
        <v>Aufbautyp :</v>
      </c>
      <c r="C4" s="315"/>
      <c r="D4" s="315"/>
      <c r="E4" s="316"/>
      <c r="F4" s="323"/>
      <c r="G4" s="324"/>
      <c r="H4" s="324"/>
      <c r="I4" s="324"/>
      <c r="J4" s="324"/>
      <c r="K4" s="324"/>
      <c r="L4" s="324"/>
      <c r="M4" s="325"/>
      <c r="N4" s="148"/>
      <c r="O4" s="279" t="str">
        <f>IF(A1=1,'1'!A75,'1'!B75)</f>
        <v>Vertriebsgebiet :</v>
      </c>
      <c r="P4" s="331"/>
      <c r="Q4" s="331"/>
      <c r="R4" s="280"/>
      <c r="S4" s="345"/>
      <c r="T4" s="345"/>
      <c r="U4" s="345"/>
      <c r="V4" s="345"/>
      <c r="W4" s="345"/>
      <c r="X4" s="345"/>
      <c r="Y4" s="71"/>
      <c r="Z4" s="76"/>
      <c r="AA4" s="77"/>
      <c r="AB4" s="77"/>
      <c r="AC4" s="77"/>
      <c r="AD4" s="77"/>
      <c r="AE4" s="218"/>
      <c r="AF4" s="77"/>
      <c r="AG4" s="71"/>
      <c r="AH4" s="79"/>
      <c r="AI4" s="111" t="str">
        <f>INDEX(DateiListe,ROW()-3)</f>
        <v>Frontliner1 .jpg</v>
      </c>
      <c r="AK4" s="183" t="s">
        <v>299</v>
      </c>
      <c r="AO4" s="196" t="s">
        <v>281</v>
      </c>
      <c r="BK4" s="208">
        <f>COUNTIF(BW,"TEA")</f>
        <v>0</v>
      </c>
      <c r="BL4" s="208">
        <f>COUNTIF(BW,"TEK")</f>
        <v>0</v>
      </c>
      <c r="BM4" s="208">
        <f>COUNTIF(BW,"KMU")</f>
        <v>0</v>
      </c>
      <c r="BN4" s="208">
        <f>SUM(Auswertung[TEA]+Auswertung[TEK]+Auswertung[KMU])</f>
        <v>0</v>
      </c>
      <c r="BO4" s="209">
        <f>SUMIF(BW_Daten,"TEA",Preis_Daten)</f>
        <v>0</v>
      </c>
      <c r="BP4" s="210">
        <f>SUMIF(BW_Daten,"TEK",Preis_Daten)</f>
        <v>0</v>
      </c>
      <c r="BQ4" s="211">
        <f>SUM(SummeGesamt)</f>
        <v>0</v>
      </c>
    </row>
    <row r="5" spans="1:69" s="21" customFormat="1" ht="15" customHeight="1" x14ac:dyDescent="0.2">
      <c r="A5" s="229">
        <f>A86</f>
        <v>86</v>
      </c>
      <c r="B5" s="314" t="str">
        <f>IF(A1=1,'1'!A73,'1'!B73)</f>
        <v>Besucher :</v>
      </c>
      <c r="C5" s="315"/>
      <c r="D5" s="315"/>
      <c r="E5" s="315"/>
      <c r="F5" s="319"/>
      <c r="G5" s="319"/>
      <c r="H5" s="319"/>
      <c r="I5" s="319"/>
      <c r="J5" s="319"/>
      <c r="K5" s="319"/>
      <c r="L5" s="319"/>
      <c r="M5" s="319"/>
      <c r="N5" s="78"/>
      <c r="O5" s="317"/>
      <c r="P5" s="317"/>
      <c r="Q5" s="317"/>
      <c r="R5" s="317"/>
      <c r="S5" s="317"/>
      <c r="T5" s="317"/>
      <c r="U5" s="317"/>
      <c r="V5" s="317"/>
      <c r="W5" s="317"/>
      <c r="X5" s="318"/>
      <c r="Y5" s="71"/>
      <c r="Z5" s="76"/>
      <c r="AA5" s="77"/>
      <c r="AB5" s="77"/>
      <c r="AC5" s="77"/>
      <c r="AD5" s="77"/>
      <c r="AE5" s="218"/>
      <c r="AF5" s="77"/>
      <c r="AG5" s="12"/>
      <c r="AH5" s="79"/>
      <c r="AI5" s="111" t="str">
        <f>INDEX(DateiListe,ROW()-3)</f>
        <v>Frontliner2.jpg</v>
      </c>
      <c r="AK5" s="185" t="str">
        <f>IFERROR(RIGHT(AK4,LEN(AK4)-SEARCH("_",AK4)),"")</f>
        <v>CM F 110 EWA Eco FL_Berndt, Kesselsdorf</v>
      </c>
      <c r="AL5" s="183"/>
    </row>
    <row r="6" spans="1:69" s="21" customFormat="1" ht="15" customHeight="1" x14ac:dyDescent="0.2">
      <c r="A6" s="229">
        <f>A105</f>
        <v>105</v>
      </c>
      <c r="B6" s="25"/>
      <c r="C6" s="26"/>
      <c r="D6" s="26"/>
      <c r="E6" s="26"/>
      <c r="F6" s="322"/>
      <c r="G6" s="322"/>
      <c r="H6" s="322"/>
      <c r="I6" s="322"/>
      <c r="J6" s="322"/>
      <c r="K6" s="322"/>
      <c r="L6" s="322"/>
      <c r="M6" s="322"/>
      <c r="N6" s="287"/>
      <c r="O6" s="288"/>
      <c r="P6" s="288"/>
      <c r="Q6" s="288"/>
      <c r="R6" s="288"/>
      <c r="S6" s="288"/>
      <c r="T6" s="288"/>
      <c r="U6" s="328"/>
      <c r="V6" s="329"/>
      <c r="W6" s="329"/>
      <c r="X6" s="330"/>
      <c r="Y6" s="71"/>
      <c r="Z6" s="76"/>
      <c r="AA6" s="77"/>
      <c r="AB6" s="77"/>
      <c r="AC6" s="77"/>
      <c r="AD6" s="178"/>
      <c r="AE6" s="218"/>
      <c r="AF6" s="77"/>
      <c r="AG6" s="12"/>
      <c r="AH6" s="79"/>
      <c r="AI6" s="111" t="str">
        <f>INDEX(DateiListe,ROW()-3)</f>
        <v>Frontliner3.jpg</v>
      </c>
      <c r="AK6" s="187" t="str">
        <f>IFERROR(RIGHT(AK5,LEN(AK5)-SEARCH("_",AK5)),"")</f>
        <v>Berndt, Kesselsdorf</v>
      </c>
    </row>
    <row r="7" spans="1:69" s="21" customFormat="1" ht="15" customHeight="1" x14ac:dyDescent="0.2">
      <c r="A7" s="229" t="s">
        <v>70</v>
      </c>
      <c r="B7" s="25"/>
      <c r="C7" s="26"/>
      <c r="D7" s="26"/>
      <c r="E7" s="26"/>
      <c r="F7" s="322"/>
      <c r="G7" s="322"/>
      <c r="H7" s="322"/>
      <c r="I7" s="322"/>
      <c r="J7" s="322"/>
      <c r="K7" s="322"/>
      <c r="L7" s="322"/>
      <c r="M7" s="322"/>
      <c r="N7" s="326"/>
      <c r="O7" s="327"/>
      <c r="P7" s="327"/>
      <c r="Q7" s="327"/>
      <c r="R7" s="327"/>
      <c r="S7" s="327"/>
      <c r="T7" s="327"/>
      <c r="U7" s="328"/>
      <c r="V7" s="329"/>
      <c r="W7" s="329"/>
      <c r="X7" s="330"/>
      <c r="Y7" s="71"/>
      <c r="Z7" s="76"/>
      <c r="AA7" s="77"/>
      <c r="AB7" s="77"/>
      <c r="AC7" s="77"/>
      <c r="AD7" s="77"/>
      <c r="AE7" s="218"/>
      <c r="AF7" s="77"/>
      <c r="AG7" s="71"/>
      <c r="AH7" s="79"/>
      <c r="AI7" s="111" t="str">
        <f>INDEX(DateiListe,ROW()-3)</f>
        <v>Helicopter1.jpg</v>
      </c>
      <c r="AK7" s="186" t="str">
        <f>IFERROR(LEFT(AK5,SEARCH("_",AK5)-1),"")</f>
        <v>CM F 110 EWA Eco FL</v>
      </c>
      <c r="AL7" s="185"/>
    </row>
    <row r="8" spans="1:69" s="21" customFormat="1" ht="7.15" customHeight="1" x14ac:dyDescent="0.25">
      <c r="A8" s="229"/>
      <c r="B8" s="27"/>
      <c r="C8" s="28"/>
      <c r="D8" s="28"/>
      <c r="E8" s="29"/>
      <c r="F8" s="30"/>
      <c r="G8" s="30"/>
      <c r="H8" s="31"/>
      <c r="I8" s="31"/>
      <c r="J8" s="31"/>
      <c r="K8" s="31"/>
      <c r="L8" s="31"/>
      <c r="M8" s="31"/>
      <c r="N8" s="22"/>
      <c r="O8" s="22"/>
      <c r="P8" s="22"/>
      <c r="Q8" s="22"/>
      <c r="R8" s="22"/>
      <c r="S8" s="22"/>
      <c r="T8" s="22"/>
      <c r="U8" s="22"/>
      <c r="V8" s="22"/>
      <c r="W8" s="22"/>
      <c r="X8" s="23"/>
      <c r="Y8" s="71"/>
      <c r="Z8" s="76"/>
      <c r="AA8" s="77"/>
      <c r="AB8" s="77"/>
      <c r="AC8" s="77"/>
      <c r="AD8" s="77"/>
      <c r="AE8" s="218"/>
      <c r="AF8" s="77"/>
      <c r="AG8" s="12"/>
      <c r="AH8" s="79"/>
      <c r="AI8" s="111" t="str">
        <f>INDEX(DateiListe,ROW()-3)</f>
        <v>Helicopter2.jpg</v>
      </c>
    </row>
    <row r="9" spans="1:69" s="21" customFormat="1" ht="15" customHeight="1" x14ac:dyDescent="0.2">
      <c r="A9" s="229">
        <v>0</v>
      </c>
      <c r="B9" s="271" t="str">
        <f>IF(A1=1,'1'!A76,'1'!B76)</f>
        <v>Projektleiter MU :</v>
      </c>
      <c r="C9" s="272"/>
      <c r="D9" s="272"/>
      <c r="E9" s="272"/>
      <c r="F9" s="287"/>
      <c r="G9" s="288"/>
      <c r="H9" s="288"/>
      <c r="I9" s="288"/>
      <c r="J9" s="288"/>
      <c r="K9" s="289"/>
      <c r="L9" s="141"/>
      <c r="M9" s="22"/>
      <c r="N9" s="22"/>
      <c r="O9" s="279" t="str">
        <f>IF(A1=1,'1'!A78,'1'!B78)</f>
        <v>Datum :</v>
      </c>
      <c r="P9" s="280"/>
      <c r="Q9" s="281"/>
      <c r="R9" s="282"/>
      <c r="S9" s="282"/>
      <c r="T9" s="282"/>
      <c r="U9" s="64"/>
      <c r="V9" s="63"/>
      <c r="W9" s="63"/>
      <c r="X9" s="32"/>
      <c r="Y9" s="71"/>
      <c r="Z9" s="76"/>
      <c r="AA9" s="77"/>
      <c r="AB9" s="77"/>
      <c r="AC9" s="77"/>
      <c r="AD9" s="77"/>
      <c r="AE9" s="218"/>
      <c r="AF9" s="77"/>
      <c r="AG9" s="71"/>
      <c r="AH9" s="79"/>
      <c r="AI9" s="111" t="e">
        <f>INDEX(DateiListe,ROW()-3)</f>
        <v>#REF!</v>
      </c>
      <c r="AK9" s="185" t="str">
        <f>IF(A1=1,"RAP_"&amp;S3&amp;".xlsm","RAP_"&amp;S3&amp;"_E.xlsm")</f>
        <v>RAP_.xlsm</v>
      </c>
      <c r="AL9" s="35" t="s">
        <v>298</v>
      </c>
    </row>
    <row r="10" spans="1:69" s="21" customFormat="1" ht="15" customHeight="1" x14ac:dyDescent="0.2">
      <c r="A10" s="229"/>
      <c r="B10" s="271" t="str">
        <f>IF(A1=1,'1'!A77,'1'!B77)</f>
        <v>RAP erstellt von:</v>
      </c>
      <c r="C10" s="272"/>
      <c r="D10" s="272"/>
      <c r="E10" s="272"/>
      <c r="F10" s="287"/>
      <c r="G10" s="288"/>
      <c r="H10" s="288"/>
      <c r="I10" s="288"/>
      <c r="J10" s="288"/>
      <c r="K10" s="289"/>
      <c r="L10" s="105"/>
      <c r="M10" s="142"/>
      <c r="N10" s="142"/>
      <c r="O10" s="106"/>
      <c r="P10" s="106"/>
      <c r="Q10" s="106"/>
      <c r="R10" s="106"/>
      <c r="S10" s="22"/>
      <c r="T10" s="22"/>
      <c r="U10" s="22"/>
      <c r="V10" s="22"/>
      <c r="W10" s="22"/>
      <c r="X10" s="23"/>
      <c r="Y10" s="71"/>
      <c r="Z10" s="76"/>
      <c r="AA10" s="77"/>
      <c r="AB10" s="178"/>
      <c r="AC10" s="77"/>
      <c r="AD10" s="77"/>
      <c r="AE10" s="218"/>
      <c r="AF10" s="77"/>
      <c r="AG10" s="71"/>
      <c r="AH10" s="79"/>
      <c r="AI10" s="111" t="e">
        <f>INDEX(DateiListe,ROW()-3)</f>
        <v>#REF!</v>
      </c>
      <c r="AK10" s="188" t="str">
        <f>AK9</f>
        <v>RAP_.xlsm</v>
      </c>
      <c r="AL10" s="185" t="str">
        <f>"C:\Users\"&amp;AL9&amp;"\Desktop\"</f>
        <v>C:\Users\jschroeder\Desktop\</v>
      </c>
    </row>
    <row r="11" spans="1:69" s="21" customFormat="1" ht="13.5" customHeight="1" x14ac:dyDescent="0.2">
      <c r="A11" s="88"/>
      <c r="B11" s="283"/>
      <c r="C11" s="284"/>
      <c r="D11" s="284"/>
      <c r="E11" s="284"/>
      <c r="F11" s="284"/>
      <c r="G11" s="284"/>
      <c r="H11" s="284"/>
      <c r="I11" s="284"/>
      <c r="J11" s="284"/>
      <c r="K11" s="284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285"/>
      <c r="W11" s="285"/>
      <c r="X11" s="286"/>
      <c r="Y11" s="71"/>
      <c r="Z11" s="76"/>
      <c r="AA11" s="77"/>
      <c r="AB11" s="77"/>
      <c r="AC11" s="77"/>
      <c r="AD11" s="77"/>
      <c r="AE11" s="218"/>
      <c r="AF11" s="77"/>
      <c r="AG11" s="71"/>
      <c r="AH11" s="79"/>
      <c r="AI11" s="111" t="e">
        <f>INDEX(DateiListe,ROW()-3)</f>
        <v>#REF!</v>
      </c>
      <c r="AL11" s="185" t="s">
        <v>314</v>
      </c>
    </row>
    <row r="12" spans="1:69" s="21" customFormat="1" ht="16.350000000000001" customHeight="1" x14ac:dyDescent="0.2">
      <c r="A12" s="88"/>
      <c r="B12" s="304" t="str">
        <f>IF(A1=1,'1'!A79,'1'!B79)</f>
        <v>Lackierung u. Beschichtung</v>
      </c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6"/>
      <c r="Y12" s="71"/>
      <c r="Z12" s="76"/>
      <c r="AA12" s="77"/>
      <c r="AB12" s="77"/>
      <c r="AC12" s="77"/>
      <c r="AD12" s="77"/>
      <c r="AE12" s="218"/>
      <c r="AF12" s="77"/>
      <c r="AG12" s="71"/>
      <c r="AH12" s="79"/>
      <c r="AI12" s="111" t="e">
        <f>INDEX(DateiListe,ROW()-3)</f>
        <v>#REF!</v>
      </c>
      <c r="AK12" s="185" t="str">
        <f>MID(AJ1,5,8)</f>
        <v>09_fb_ro</v>
      </c>
    </row>
    <row r="13" spans="1:69" s="21" customFormat="1" ht="15" customHeight="1" x14ac:dyDescent="0.2">
      <c r="A13" s="88"/>
      <c r="B13" s="333" t="str">
        <f>IF(A1=1,'1'!A80,'1'!B80)</f>
        <v>Aufbau :</v>
      </c>
      <c r="C13" s="334"/>
      <c r="D13" s="334"/>
      <c r="E13" s="334"/>
      <c r="F13" s="334"/>
      <c r="G13" s="335"/>
      <c r="H13" s="241"/>
      <c r="I13" s="242"/>
      <c r="J13" s="242"/>
      <c r="K13" s="242"/>
      <c r="L13" s="243"/>
      <c r="M13" s="22"/>
      <c r="N13" s="240" t="str">
        <f>IF(A1=1,'1'!A87,'1'!B87)</f>
        <v>Schränke oben :</v>
      </c>
      <c r="O13" s="240"/>
      <c r="P13" s="240"/>
      <c r="Q13" s="240"/>
      <c r="R13" s="240"/>
      <c r="S13" s="240"/>
      <c r="T13" s="240"/>
      <c r="U13" s="241"/>
      <c r="V13" s="242"/>
      <c r="W13" s="242"/>
      <c r="X13" s="243"/>
      <c r="Y13" s="71"/>
      <c r="Z13" s="76"/>
      <c r="AA13" s="77"/>
      <c r="AB13" s="77"/>
      <c r="AC13" s="77"/>
      <c r="AD13" s="77"/>
      <c r="AE13" s="218"/>
      <c r="AF13" s="77"/>
      <c r="AG13" s="71"/>
      <c r="AH13" s="79"/>
      <c r="AI13" s="111" t="e">
        <f>INDEX(DateiListe,ROW()-3)</f>
        <v>#REF!</v>
      </c>
      <c r="AK13" s="185"/>
      <c r="AL13" s="21" t="s">
        <v>303</v>
      </c>
    </row>
    <row r="14" spans="1:69" s="21" customFormat="1" ht="15" customHeight="1" x14ac:dyDescent="0.2">
      <c r="A14" s="88"/>
      <c r="B14" s="273" t="str">
        <f>IF(A1=1,'1'!A81,'1'!B81)</f>
        <v>Rahmen :</v>
      </c>
      <c r="C14" s="274"/>
      <c r="D14" s="274"/>
      <c r="E14" s="274"/>
      <c r="F14" s="274"/>
      <c r="G14" s="275"/>
      <c r="H14" s="250"/>
      <c r="I14" s="251"/>
      <c r="J14" s="251"/>
      <c r="K14" s="251"/>
      <c r="L14" s="252"/>
      <c r="M14" s="22"/>
      <c r="N14" s="240" t="str">
        <f>IF(A1=1,'1'!A88,'1'!B88)</f>
        <v>Schränke innen :</v>
      </c>
      <c r="O14" s="240"/>
      <c r="P14" s="240"/>
      <c r="Q14" s="240"/>
      <c r="R14" s="240"/>
      <c r="S14" s="240"/>
      <c r="T14" s="240"/>
      <c r="U14" s="241"/>
      <c r="V14" s="242"/>
      <c r="W14" s="242"/>
      <c r="X14" s="243"/>
      <c r="Y14" s="71"/>
      <c r="Z14" s="76"/>
      <c r="AA14" s="77"/>
      <c r="AB14" s="77"/>
      <c r="AC14" s="77"/>
      <c r="AD14" s="77">
        <v>0</v>
      </c>
      <c r="AE14" s="218"/>
      <c r="AF14" s="77"/>
      <c r="AG14" s="71"/>
      <c r="AH14" s="79"/>
      <c r="AI14" s="111" t="e">
        <f>INDEX(DateiListe,ROW()-3)</f>
        <v>#REF!</v>
      </c>
      <c r="AK14" s="183">
        <f>AK13</f>
        <v>0</v>
      </c>
      <c r="AL14" s="21">
        <v>0</v>
      </c>
    </row>
    <row r="15" spans="1:69" s="21" customFormat="1" ht="15" customHeight="1" x14ac:dyDescent="0.2">
      <c r="A15" s="88"/>
      <c r="B15" s="333" t="str">
        <f>IF(A1=1,'1'!A82,'1'!B82)</f>
        <v>Schüttblende Außen :</v>
      </c>
      <c r="C15" s="334"/>
      <c r="D15" s="334"/>
      <c r="E15" s="334"/>
      <c r="F15" s="334"/>
      <c r="G15" s="334"/>
      <c r="H15" s="241"/>
      <c r="I15" s="242"/>
      <c r="J15" s="242"/>
      <c r="K15" s="242"/>
      <c r="L15" s="243"/>
      <c r="M15" s="22"/>
      <c r="N15" s="240" t="str">
        <f>IF(A1=1,'1'!A89,'1'!B89)</f>
        <v>Schränke unten :</v>
      </c>
      <c r="O15" s="240"/>
      <c r="P15" s="240"/>
      <c r="Q15" s="240"/>
      <c r="R15" s="240"/>
      <c r="S15" s="240"/>
      <c r="T15" s="240"/>
      <c r="U15" s="241"/>
      <c r="V15" s="242"/>
      <c r="W15" s="242"/>
      <c r="X15" s="243"/>
      <c r="Y15" s="71"/>
      <c r="Z15" s="76"/>
      <c r="AA15" s="77"/>
      <c r="AB15" s="77"/>
      <c r="AC15" s="77"/>
      <c r="AD15" s="77"/>
      <c r="AE15" s="218"/>
      <c r="AF15" s="77"/>
      <c r="AG15" s="12"/>
      <c r="AH15" s="79"/>
      <c r="AI15" s="111" t="e">
        <f>INDEX(DateiListe,ROW()-3)</f>
        <v>#REF!</v>
      </c>
    </row>
    <row r="16" spans="1:69" s="21" customFormat="1" ht="15" customHeight="1" x14ac:dyDescent="0.2">
      <c r="A16" s="88"/>
      <c r="B16" s="273" t="str">
        <f>IF(A1=1,'1'!A83,'1'!B83)</f>
        <v>Schüttblende Innen:</v>
      </c>
      <c r="C16" s="274"/>
      <c r="D16" s="274"/>
      <c r="E16" s="274"/>
      <c r="F16" s="274"/>
      <c r="G16" s="274"/>
      <c r="H16" s="241"/>
      <c r="I16" s="242"/>
      <c r="J16" s="242"/>
      <c r="K16" s="242"/>
      <c r="L16" s="243"/>
      <c r="M16" s="22"/>
      <c r="N16" s="240" t="str">
        <f>IF(A1=1,'1'!A90,'1'!B90)</f>
        <v>Kleiderschrank :</v>
      </c>
      <c r="O16" s="240"/>
      <c r="P16" s="240"/>
      <c r="Q16" s="240"/>
      <c r="R16" s="240"/>
      <c r="S16" s="240"/>
      <c r="T16" s="240"/>
      <c r="U16" s="241"/>
      <c r="V16" s="242"/>
      <c r="W16" s="242"/>
      <c r="X16" s="243"/>
      <c r="Y16" s="71"/>
      <c r="Z16" s="76"/>
      <c r="AA16" s="77"/>
      <c r="AB16" s="77"/>
      <c r="AC16" s="77"/>
      <c r="AD16" s="77"/>
      <c r="AE16" s="218"/>
      <c r="AF16" s="77"/>
      <c r="AG16" s="71"/>
      <c r="AH16" s="79"/>
      <c r="AI16" s="111" t="e">
        <f>INDEX(DateiListe,ROW()-3)</f>
        <v>#REF!</v>
      </c>
    </row>
    <row r="17" spans="1:44" s="21" customFormat="1" ht="15" customHeight="1" x14ac:dyDescent="0.2">
      <c r="A17" s="88"/>
      <c r="B17" s="333" t="str">
        <f>IF(A1=1,'1'!A84,'1'!B84)</f>
        <v>Klarlackschicht :</v>
      </c>
      <c r="C17" s="334"/>
      <c r="D17" s="334"/>
      <c r="E17" s="334"/>
      <c r="F17" s="334"/>
      <c r="G17" s="335"/>
      <c r="H17" s="241"/>
      <c r="I17" s="242"/>
      <c r="J17" s="242"/>
      <c r="K17" s="242"/>
      <c r="L17" s="243"/>
      <c r="M17" s="22"/>
      <c r="N17" s="240" t="str">
        <f>IF(A1=1,'1'!A91,'1'!B91)</f>
        <v>Behälter- Innenbeschichtung :</v>
      </c>
      <c r="O17" s="240"/>
      <c r="P17" s="240"/>
      <c r="Q17" s="240"/>
      <c r="R17" s="240"/>
      <c r="S17" s="240"/>
      <c r="T17" s="240"/>
      <c r="U17" s="241"/>
      <c r="V17" s="242"/>
      <c r="W17" s="242"/>
      <c r="X17" s="243"/>
      <c r="Y17" s="71"/>
      <c r="Z17" s="76"/>
      <c r="AA17" s="77"/>
      <c r="AB17" s="77"/>
      <c r="AC17" s="77"/>
      <c r="AD17" s="77"/>
      <c r="AE17" s="218"/>
      <c r="AF17" s="77"/>
      <c r="AG17" s="71"/>
      <c r="AH17" s="79"/>
      <c r="AI17" s="111" t="e">
        <f>INDEX(DateiListe,ROW()-3)</f>
        <v>#REF!</v>
      </c>
    </row>
    <row r="18" spans="1:44" s="21" customFormat="1" ht="15" customHeight="1" x14ac:dyDescent="0.2">
      <c r="A18" s="88"/>
      <c r="B18" s="273" t="str">
        <f>IF(A1=1,'1'!A85,'1'!B85)</f>
        <v>Schrottkasten :</v>
      </c>
      <c r="C18" s="274"/>
      <c r="D18" s="274"/>
      <c r="E18" s="274"/>
      <c r="F18" s="274"/>
      <c r="G18" s="275"/>
      <c r="H18" s="247"/>
      <c r="I18" s="248"/>
      <c r="J18" s="248"/>
      <c r="K18" s="248"/>
      <c r="L18" s="249"/>
      <c r="M18" s="22"/>
      <c r="N18" s="240" t="str">
        <f>IF(A1=1,'1'!A92,'1'!B92)</f>
        <v>E- Kolbenbeschichtung :</v>
      </c>
      <c r="O18" s="240"/>
      <c r="P18" s="240"/>
      <c r="Q18" s="240"/>
      <c r="R18" s="240"/>
      <c r="S18" s="240"/>
      <c r="T18" s="240"/>
      <c r="U18" s="241"/>
      <c r="V18" s="242"/>
      <c r="W18" s="242"/>
      <c r="X18" s="243"/>
      <c r="Y18" s="71"/>
      <c r="Z18" s="76"/>
      <c r="AA18" s="77"/>
      <c r="AB18" s="178"/>
      <c r="AC18" s="77"/>
      <c r="AD18" s="77"/>
      <c r="AE18" s="218"/>
      <c r="AF18" s="77"/>
      <c r="AG18" s="71"/>
      <c r="AH18" s="79"/>
      <c r="AI18" s="111" t="e">
        <f>INDEX(DateiListe,ROW()-3)</f>
        <v>#REF!</v>
      </c>
    </row>
    <row r="19" spans="1:44" s="21" customFormat="1" ht="15" customHeight="1" x14ac:dyDescent="0.2">
      <c r="A19" s="88"/>
      <c r="B19" s="273" t="str">
        <f>IF(A1=1,'1'!A86,'1'!B86)</f>
        <v>Zinkstaubbeschichtung :</v>
      </c>
      <c r="C19" s="274"/>
      <c r="D19" s="274"/>
      <c r="E19" s="274"/>
      <c r="F19" s="274"/>
      <c r="G19" s="275"/>
      <c r="H19" s="241"/>
      <c r="I19" s="242"/>
      <c r="J19" s="242"/>
      <c r="K19" s="242"/>
      <c r="L19" s="243"/>
      <c r="M19" s="22"/>
      <c r="N19" s="336"/>
      <c r="O19" s="337"/>
      <c r="P19" s="337"/>
      <c r="Q19" s="337"/>
      <c r="R19" s="337"/>
      <c r="S19" s="337"/>
      <c r="T19" s="338"/>
      <c r="U19" s="22"/>
      <c r="V19" s="22"/>
      <c r="W19" s="22"/>
      <c r="X19" s="123"/>
      <c r="Y19" s="71"/>
      <c r="Z19" s="76"/>
      <c r="AA19" s="77"/>
      <c r="AB19" s="77"/>
      <c r="AC19" s="77"/>
      <c r="AD19" s="77"/>
      <c r="AE19" s="218"/>
      <c r="AF19" s="77"/>
      <c r="AG19" s="71"/>
      <c r="AH19" s="79"/>
      <c r="AI19" s="111" t="e">
        <f>INDEX(DateiListe,ROW()-3)</f>
        <v>#REF!</v>
      </c>
    </row>
    <row r="20" spans="1:44" s="21" customFormat="1" ht="9.9499999999999993" customHeight="1" x14ac:dyDescent="0.2">
      <c r="A20" s="88"/>
      <c r="B20" s="276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7"/>
      <c r="V20" s="277"/>
      <c r="W20" s="277"/>
      <c r="X20" s="278"/>
      <c r="Y20" s="71"/>
      <c r="Z20" s="76"/>
      <c r="AA20" s="77"/>
      <c r="AB20" s="77"/>
      <c r="AC20" s="77"/>
      <c r="AD20" s="77"/>
      <c r="AE20" s="218"/>
      <c r="AF20" s="77"/>
      <c r="AG20" s="71"/>
      <c r="AH20" s="79"/>
      <c r="AI20" s="111" t="e">
        <f>INDEX(DateiListe,ROW()-3)</f>
        <v>#REF!</v>
      </c>
    </row>
    <row r="21" spans="1:44" s="21" customFormat="1" ht="15.75" customHeight="1" x14ac:dyDescent="0.2">
      <c r="A21" s="88"/>
      <c r="B21" s="137" t="str">
        <f>IF(A1=1,'1'!A94,'1'!B94)</f>
        <v xml:space="preserve">Info </v>
      </c>
      <c r="C21" s="132"/>
      <c r="D21" s="244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8"/>
      <c r="Y21" s="71"/>
      <c r="Z21" s="76"/>
      <c r="AA21" s="85"/>
      <c r="AB21" s="77"/>
      <c r="AC21" s="77"/>
      <c r="AD21" s="77"/>
      <c r="AE21" s="218"/>
      <c r="AF21" s="77"/>
      <c r="AG21" s="71"/>
      <c r="AH21" s="79"/>
      <c r="AI21" s="111"/>
      <c r="AO21" s="35"/>
      <c r="AQ21" s="36"/>
    </row>
    <row r="22" spans="1:44" s="21" customFormat="1" ht="15.75" customHeight="1" x14ac:dyDescent="0.2">
      <c r="A22" s="88"/>
      <c r="B22" s="134">
        <f>IF(A1=1,'1'!A95,'1'!B95)</f>
        <v>0</v>
      </c>
      <c r="C22" s="133"/>
      <c r="D22" s="244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8"/>
      <c r="Y22" s="71"/>
      <c r="Z22" s="76"/>
      <c r="AA22" s="85"/>
      <c r="AB22" s="77"/>
      <c r="AC22" s="77"/>
      <c r="AD22" s="77"/>
      <c r="AE22" s="218"/>
      <c r="AF22" s="77"/>
      <c r="AG22" s="71"/>
      <c r="AH22" s="79"/>
      <c r="AI22" s="177"/>
      <c r="AO22" s="35"/>
      <c r="AQ22" s="36"/>
    </row>
    <row r="23" spans="1:44" s="21" customFormat="1" ht="15.75" customHeight="1" x14ac:dyDescent="0.2">
      <c r="A23" s="88"/>
      <c r="B23" s="131"/>
      <c r="C23" s="167"/>
      <c r="D23" s="244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8"/>
      <c r="Y23" s="71"/>
      <c r="Z23" s="76"/>
      <c r="AA23" s="85"/>
      <c r="AB23" s="77"/>
      <c r="AC23" s="77"/>
      <c r="AD23" s="77"/>
      <c r="AE23" s="218"/>
      <c r="AF23" s="77"/>
      <c r="AG23" s="71"/>
      <c r="AH23" s="79"/>
      <c r="AO23" s="35"/>
      <c r="AP23" s="35"/>
      <c r="AQ23" s="36"/>
    </row>
    <row r="24" spans="1:44" s="21" customFormat="1" ht="15.75" customHeight="1" x14ac:dyDescent="0.2">
      <c r="A24" s="88"/>
      <c r="B24" s="131"/>
      <c r="C24" s="167"/>
      <c r="D24" s="244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8"/>
      <c r="Y24" s="71"/>
      <c r="Z24" s="76"/>
      <c r="AA24" s="85"/>
      <c r="AB24" s="77"/>
      <c r="AC24" s="77"/>
      <c r="AD24" s="77"/>
      <c r="AE24" s="218"/>
      <c r="AF24" s="77"/>
      <c r="AG24" s="71"/>
      <c r="AH24" s="79"/>
      <c r="AO24" s="35"/>
      <c r="AQ24" s="39"/>
      <c r="AR24" s="35"/>
    </row>
    <row r="25" spans="1:44" s="21" customFormat="1" ht="15.75" customHeight="1" x14ac:dyDescent="0.2">
      <c r="A25" s="88"/>
      <c r="B25" s="131"/>
      <c r="C25" s="167"/>
      <c r="D25" s="244"/>
      <c r="E25" s="245"/>
      <c r="F25" s="245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  <c r="U25" s="245"/>
      <c r="V25" s="245"/>
      <c r="W25" s="245"/>
      <c r="X25" s="246"/>
      <c r="Y25" s="71"/>
      <c r="Z25" s="76"/>
      <c r="AA25" s="85"/>
      <c r="AB25" s="77"/>
      <c r="AC25" s="77"/>
      <c r="AD25" s="77"/>
      <c r="AE25" s="218"/>
      <c r="AF25" s="77"/>
      <c r="AG25" s="71"/>
      <c r="AH25" s="79"/>
      <c r="AO25" s="35"/>
      <c r="AP25" s="35"/>
      <c r="AQ25" s="36"/>
    </row>
    <row r="26" spans="1:44" s="21" customFormat="1" ht="15.75" customHeight="1" x14ac:dyDescent="0.2">
      <c r="A26" s="88"/>
      <c r="B26" s="37"/>
      <c r="C26" s="38"/>
      <c r="D26" s="24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8"/>
      <c r="Y26" s="71"/>
      <c r="Z26" s="76"/>
      <c r="AA26" s="85"/>
      <c r="AB26" s="77"/>
      <c r="AC26" s="77"/>
      <c r="AD26" s="77"/>
      <c r="AE26" s="218"/>
      <c r="AF26" s="77"/>
      <c r="AG26" s="71"/>
      <c r="AH26" s="79"/>
      <c r="AO26" s="35"/>
      <c r="AQ26" s="39"/>
      <c r="AR26" s="35"/>
    </row>
    <row r="27" spans="1:44" s="21" customFormat="1" ht="15.75" customHeight="1" x14ac:dyDescent="0.2">
      <c r="A27" s="88"/>
      <c r="B27" s="40"/>
      <c r="C27" s="138"/>
      <c r="D27" s="244"/>
      <c r="E27" s="245"/>
      <c r="F27" s="245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  <c r="U27" s="245"/>
      <c r="V27" s="245"/>
      <c r="W27" s="245"/>
      <c r="X27" s="246"/>
      <c r="Y27" s="71"/>
      <c r="Z27" s="76"/>
      <c r="AA27" s="85"/>
      <c r="AB27" s="77"/>
      <c r="AC27" s="77"/>
      <c r="AD27" s="77"/>
      <c r="AE27" s="218"/>
      <c r="AF27" s="77"/>
      <c r="AG27" s="71"/>
      <c r="AH27" s="79"/>
      <c r="AO27" s="35"/>
      <c r="AP27" s="41"/>
    </row>
    <row r="28" spans="1:44" s="21" customFormat="1" ht="13.5" customHeight="1" x14ac:dyDescent="0.2">
      <c r="A28" s="88"/>
      <c r="B28" s="116"/>
      <c r="C28" s="33"/>
      <c r="D28" s="33"/>
      <c r="E28" s="34"/>
      <c r="F28" s="34"/>
      <c r="G28" s="34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3"/>
      <c r="Y28" s="71"/>
      <c r="Z28" s="76"/>
      <c r="AA28" s="77"/>
      <c r="AB28" s="77"/>
      <c r="AC28" s="77"/>
      <c r="AD28" s="77"/>
      <c r="AE28" s="218"/>
      <c r="AF28" s="77"/>
      <c r="AG28" s="71"/>
      <c r="AH28" s="79"/>
    </row>
    <row r="29" spans="1:44" s="111" customFormat="1" ht="16.350000000000001" customHeight="1" x14ac:dyDescent="0.2">
      <c r="A29" s="230"/>
      <c r="B29" s="304" t="str">
        <f>IF(A1=1,'1'!A96,'1'!B96)</f>
        <v>Fahrzeugbeschriftung</v>
      </c>
      <c r="C29" s="305"/>
      <c r="D29" s="305"/>
      <c r="E29" s="305"/>
      <c r="F29" s="305"/>
      <c r="G29" s="305"/>
      <c r="H29" s="305"/>
      <c r="I29" s="305"/>
      <c r="J29" s="305"/>
      <c r="K29" s="305"/>
      <c r="L29" s="305"/>
      <c r="M29" s="305"/>
      <c r="N29" s="305"/>
      <c r="O29" s="305"/>
      <c r="P29" s="305"/>
      <c r="Q29" s="305"/>
      <c r="R29" s="305"/>
      <c r="S29" s="305"/>
      <c r="T29" s="305"/>
      <c r="U29" s="305"/>
      <c r="V29" s="305"/>
      <c r="W29" s="305"/>
      <c r="X29" s="306"/>
      <c r="Y29" s="107"/>
      <c r="Z29" s="108"/>
      <c r="AA29" s="109"/>
      <c r="AB29" s="109"/>
      <c r="AC29" s="109"/>
      <c r="AD29" s="109"/>
      <c r="AE29" s="221"/>
      <c r="AF29" s="109"/>
      <c r="AG29" s="107"/>
      <c r="AH29" s="110"/>
      <c r="AN29" s="21"/>
    </row>
    <row r="30" spans="1:44" s="21" customFormat="1" ht="15" customHeight="1" x14ac:dyDescent="0.2">
      <c r="A30" s="88"/>
      <c r="B30" s="273" t="str">
        <f>IF(A1=1,'1'!A97,'1'!B97)</f>
        <v>Standard Fahrzeugbeschriftung / MU :</v>
      </c>
      <c r="C30" s="274"/>
      <c r="D30" s="274"/>
      <c r="E30" s="274"/>
      <c r="F30" s="274"/>
      <c r="G30" s="274"/>
      <c r="H30" s="274"/>
      <c r="I30" s="274"/>
      <c r="J30" s="274"/>
      <c r="K30" s="339"/>
      <c r="L30" s="340"/>
      <c r="M30" s="341"/>
      <c r="N30" s="171"/>
      <c r="O30" s="173"/>
      <c r="P30" s="173"/>
      <c r="Q30" s="173"/>
      <c r="R30" s="173"/>
      <c r="S30" s="173"/>
      <c r="T30" s="173"/>
      <c r="U30" s="173"/>
      <c r="V30" s="173"/>
      <c r="W30" s="173"/>
      <c r="X30" s="172"/>
      <c r="Y30" s="71"/>
      <c r="Z30" s="76"/>
      <c r="AA30" s="77"/>
      <c r="AB30" s="77"/>
      <c r="AC30" s="77"/>
      <c r="AD30" s="77"/>
      <c r="AE30" s="218"/>
      <c r="AF30" s="77"/>
      <c r="AG30" s="71"/>
      <c r="AH30" s="79"/>
    </row>
    <row r="31" spans="1:44" s="21" customFormat="1" ht="15" customHeight="1" x14ac:dyDescent="0.2">
      <c r="A31" s="88"/>
      <c r="B31" s="273" t="str">
        <f>IF(A1=1,'1'!A98,'1'!B98)</f>
        <v>Fahrzeugbeschriftung FL u. HC / MU :</v>
      </c>
      <c r="C31" s="274"/>
      <c r="D31" s="274"/>
      <c r="E31" s="274"/>
      <c r="F31" s="274"/>
      <c r="G31" s="274"/>
      <c r="H31" s="274"/>
      <c r="I31" s="274"/>
      <c r="J31" s="274"/>
      <c r="K31" s="339"/>
      <c r="L31" s="340"/>
      <c r="M31" s="341"/>
      <c r="N31" s="145"/>
      <c r="O31" s="259"/>
      <c r="P31" s="259"/>
      <c r="Q31" s="259"/>
      <c r="R31" s="259"/>
      <c r="S31" s="259"/>
      <c r="T31" s="259"/>
      <c r="U31" s="259"/>
      <c r="V31" s="259"/>
      <c r="W31" s="259"/>
      <c r="X31" s="260"/>
      <c r="Y31" s="71"/>
      <c r="Z31" s="76"/>
      <c r="AA31" s="77"/>
      <c r="AB31" s="77"/>
      <c r="AC31" s="77"/>
      <c r="AD31" s="77"/>
      <c r="AE31" s="218"/>
      <c r="AF31" s="77"/>
      <c r="AG31" s="71"/>
      <c r="AH31" s="79"/>
    </row>
    <row r="32" spans="1:44" s="21" customFormat="1" ht="15" customHeight="1" x14ac:dyDescent="0.2">
      <c r="A32" s="88"/>
      <c r="B32" s="273" t="str">
        <f>IF(A1=1,'1'!A99,'1'!B99)</f>
        <v>Sonderbeschriftung / MU :</v>
      </c>
      <c r="C32" s="274"/>
      <c r="D32" s="274"/>
      <c r="E32" s="274"/>
      <c r="F32" s="274"/>
      <c r="G32" s="274"/>
      <c r="H32" s="274"/>
      <c r="I32" s="274"/>
      <c r="J32" s="274"/>
      <c r="K32" s="339"/>
      <c r="L32" s="340"/>
      <c r="M32" s="341"/>
      <c r="N32" s="174"/>
      <c r="O32" s="259"/>
      <c r="P32" s="259"/>
      <c r="Q32" s="259"/>
      <c r="R32" s="259"/>
      <c r="S32" s="259"/>
      <c r="T32" s="259"/>
      <c r="U32" s="259"/>
      <c r="V32" s="259"/>
      <c r="W32" s="259"/>
      <c r="X32" s="260"/>
      <c r="Y32" s="71"/>
      <c r="Z32" s="76"/>
      <c r="AA32" s="77"/>
      <c r="AB32" s="77"/>
      <c r="AC32" s="77"/>
      <c r="AD32" s="77"/>
      <c r="AE32" s="218"/>
      <c r="AF32" s="77"/>
      <c r="AG32" s="71"/>
      <c r="AH32" s="79"/>
    </row>
    <row r="33" spans="1:44" s="21" customFormat="1" ht="15" customHeight="1" x14ac:dyDescent="0.2">
      <c r="A33" s="88"/>
      <c r="B33" s="273" t="str">
        <f>IF(A1=1,'1'!A100,'1'!B100)</f>
        <v>Kundenspezifische Beschriftung zum Liefertermin :</v>
      </c>
      <c r="C33" s="274"/>
      <c r="D33" s="274"/>
      <c r="E33" s="274"/>
      <c r="F33" s="274"/>
      <c r="G33" s="274"/>
      <c r="H33" s="274"/>
      <c r="I33" s="274"/>
      <c r="J33" s="274"/>
      <c r="K33" s="274"/>
      <c r="L33" s="275"/>
      <c r="M33" s="346"/>
      <c r="N33" s="347"/>
      <c r="O33" s="348"/>
      <c r="P33" s="348"/>
      <c r="Q33" s="342"/>
      <c r="R33" s="343"/>
      <c r="S33" s="343"/>
      <c r="T33" s="343"/>
      <c r="U33" s="343"/>
      <c r="V33" s="343"/>
      <c r="W33" s="343"/>
      <c r="X33" s="344"/>
      <c r="Y33" s="71"/>
      <c r="Z33" s="76"/>
      <c r="AA33" s="77"/>
      <c r="AB33" s="77"/>
      <c r="AC33" s="77"/>
      <c r="AD33" s="77"/>
      <c r="AE33" s="218"/>
      <c r="AF33" s="77"/>
      <c r="AG33" s="71"/>
      <c r="AH33" s="79"/>
    </row>
    <row r="34" spans="1:44" s="21" customFormat="1" ht="15" customHeight="1" x14ac:dyDescent="0.2">
      <c r="A34" s="88"/>
      <c r="B34" s="273" t="str">
        <f>IF(A1=1,'1'!A103,'1'!B103)</f>
        <v>Die Bestellung beim Lieferanten erfolgt durch :</v>
      </c>
      <c r="C34" s="274"/>
      <c r="D34" s="274"/>
      <c r="E34" s="274"/>
      <c r="F34" s="274"/>
      <c r="G34" s="274"/>
      <c r="H34" s="274"/>
      <c r="I34" s="274"/>
      <c r="J34" s="274"/>
      <c r="K34" s="274"/>
      <c r="L34" s="274"/>
      <c r="M34" s="346"/>
      <c r="N34" s="348"/>
      <c r="O34" s="348"/>
      <c r="P34" s="348"/>
      <c r="Q34" s="145"/>
      <c r="R34" s="146"/>
      <c r="S34" s="146"/>
      <c r="T34" s="146"/>
      <c r="U34" s="146"/>
      <c r="V34" s="146"/>
      <c r="W34" s="146"/>
      <c r="X34" s="147"/>
      <c r="Y34" s="71"/>
      <c r="Z34" s="83"/>
      <c r="AA34" s="82"/>
      <c r="AB34" s="82"/>
      <c r="AC34" s="82"/>
      <c r="AD34" s="82"/>
      <c r="AE34" s="218"/>
      <c r="AF34" s="82"/>
      <c r="AG34" s="79"/>
      <c r="AH34" s="79"/>
    </row>
    <row r="35" spans="1:44" s="21" customFormat="1" ht="15" customHeight="1" x14ac:dyDescent="0.2">
      <c r="A35" s="88"/>
      <c r="B35" s="273" t="str">
        <f>IF(A1=1,'1'!A106,'1'!B106)</f>
        <v>Das Layout vom Kunden muss beigestellt sein bis :</v>
      </c>
      <c r="C35" s="274"/>
      <c r="D35" s="274"/>
      <c r="E35" s="274"/>
      <c r="F35" s="274"/>
      <c r="G35" s="274"/>
      <c r="H35" s="274"/>
      <c r="I35" s="274"/>
      <c r="J35" s="274"/>
      <c r="K35" s="274"/>
      <c r="L35" s="274"/>
      <c r="M35" s="362"/>
      <c r="N35" s="363"/>
      <c r="O35" s="363"/>
      <c r="P35" s="363"/>
      <c r="Q35" s="342"/>
      <c r="R35" s="343"/>
      <c r="S35" s="343"/>
      <c r="T35" s="343"/>
      <c r="U35" s="343"/>
      <c r="V35" s="343"/>
      <c r="W35" s="343"/>
      <c r="X35" s="344"/>
      <c r="Y35" s="71"/>
      <c r="Z35" s="76"/>
      <c r="AA35" s="77"/>
      <c r="AB35" s="77"/>
      <c r="AC35" s="77"/>
      <c r="AD35" s="77"/>
      <c r="AE35" s="218"/>
      <c r="AF35" s="77"/>
      <c r="AG35" s="71"/>
      <c r="AH35" s="79"/>
    </row>
    <row r="36" spans="1:44" s="21" customFormat="1" ht="9.9499999999999993" customHeight="1" x14ac:dyDescent="0.2">
      <c r="A36" s="88"/>
      <c r="B36" s="125"/>
      <c r="C36" s="126"/>
      <c r="D36" s="126"/>
      <c r="E36" s="127"/>
      <c r="F36" s="127"/>
      <c r="G36" s="127"/>
      <c r="H36" s="128"/>
      <c r="I36" s="128"/>
      <c r="J36" s="128"/>
      <c r="K36" s="128"/>
      <c r="L36" s="181"/>
      <c r="M36" s="264"/>
      <c r="N36" s="264"/>
      <c r="O36" s="264"/>
      <c r="P36" s="264"/>
      <c r="Q36" s="128"/>
      <c r="R36" s="128"/>
      <c r="S36" s="128"/>
      <c r="T36" s="128"/>
      <c r="U36" s="128"/>
      <c r="V36" s="128"/>
      <c r="W36" s="128"/>
      <c r="X36" s="124"/>
      <c r="Y36" s="71"/>
      <c r="Z36" s="76"/>
      <c r="AA36" s="77"/>
      <c r="AB36" s="77"/>
      <c r="AC36" s="77"/>
      <c r="AD36" s="77"/>
      <c r="AE36" s="218"/>
      <c r="AF36" s="77"/>
      <c r="AG36" s="71"/>
      <c r="AH36" s="79"/>
    </row>
    <row r="37" spans="1:44" s="162" customFormat="1" ht="15.75" customHeight="1" x14ac:dyDescent="0.2">
      <c r="A37" s="231"/>
      <c r="B37" s="179" t="str">
        <f>IF(A1=1,'1'!A107,'1'!B107)</f>
        <v xml:space="preserve">Info </v>
      </c>
      <c r="C37" s="156"/>
      <c r="D37" s="244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8"/>
      <c r="Y37" s="157"/>
      <c r="Z37" s="158"/>
      <c r="AA37" s="159"/>
      <c r="AB37" s="160"/>
      <c r="AC37" s="160"/>
      <c r="AD37" s="160"/>
      <c r="AE37" s="219"/>
      <c r="AF37" s="160"/>
      <c r="AG37" s="157"/>
      <c r="AH37" s="161"/>
      <c r="AN37" s="21"/>
      <c r="AO37" s="163"/>
      <c r="AQ37" s="164"/>
    </row>
    <row r="38" spans="1:44" s="21" customFormat="1" ht="16.149999999999999" customHeight="1" x14ac:dyDescent="0.2">
      <c r="A38" s="88"/>
      <c r="B38" s="135"/>
      <c r="C38" s="136"/>
      <c r="D38" s="244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  <c r="U38" s="245"/>
      <c r="V38" s="245"/>
      <c r="W38" s="245"/>
      <c r="X38" s="246"/>
      <c r="Y38" s="71"/>
      <c r="Z38" s="76"/>
      <c r="AA38" s="85"/>
      <c r="AB38" s="77"/>
      <c r="AC38" s="77"/>
      <c r="AD38" s="77"/>
      <c r="AE38" s="218"/>
      <c r="AF38" s="77"/>
      <c r="AG38" s="71"/>
      <c r="AH38" s="79"/>
      <c r="AO38" s="35"/>
      <c r="AP38" s="35"/>
      <c r="AQ38" s="36"/>
    </row>
    <row r="39" spans="1:44" s="21" customFormat="1" ht="15.75" customHeight="1" x14ac:dyDescent="0.2">
      <c r="A39" s="88"/>
      <c r="B39" s="131"/>
      <c r="C39" s="167"/>
      <c r="D39" s="244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71"/>
      <c r="Z39" s="76"/>
      <c r="AA39" s="85"/>
      <c r="AB39" s="77"/>
      <c r="AC39" s="77"/>
      <c r="AD39" s="77"/>
      <c r="AE39" s="218"/>
      <c r="AF39" s="77"/>
      <c r="AG39" s="71"/>
      <c r="AH39" s="79"/>
      <c r="AO39" s="35"/>
      <c r="AQ39" s="39"/>
      <c r="AR39" s="35"/>
    </row>
    <row r="40" spans="1:44" s="21" customFormat="1" ht="16.149999999999999" customHeight="1" x14ac:dyDescent="0.2">
      <c r="A40" s="88"/>
      <c r="B40" s="131"/>
      <c r="C40" s="167"/>
      <c r="D40" s="244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  <c r="U40" s="245"/>
      <c r="V40" s="245"/>
      <c r="W40" s="245"/>
      <c r="X40" s="246"/>
      <c r="Y40" s="71"/>
      <c r="Z40" s="76"/>
      <c r="AA40" s="85"/>
      <c r="AB40" s="77"/>
      <c r="AC40" s="77"/>
      <c r="AD40" s="77"/>
      <c r="AE40" s="218"/>
      <c r="AF40" s="77"/>
      <c r="AG40" s="71"/>
      <c r="AH40" s="79"/>
      <c r="AO40" s="35"/>
      <c r="AQ40" s="36"/>
    </row>
    <row r="41" spans="1:44" s="21" customFormat="1" ht="15.75" customHeight="1" x14ac:dyDescent="0.2">
      <c r="A41" s="88"/>
      <c r="B41" s="131"/>
      <c r="C41" s="167"/>
      <c r="D41" s="244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245"/>
      <c r="V41" s="245"/>
      <c r="W41" s="245"/>
      <c r="X41" s="246"/>
      <c r="Y41" s="71"/>
      <c r="Z41" s="76"/>
      <c r="AA41" s="85"/>
      <c r="AB41" s="77"/>
      <c r="AC41" s="77"/>
      <c r="AD41" s="77"/>
      <c r="AE41" s="218"/>
      <c r="AF41" s="77"/>
      <c r="AG41" s="71"/>
      <c r="AH41" s="79"/>
      <c r="AO41" s="35"/>
      <c r="AP41" s="35"/>
      <c r="AQ41" s="36"/>
    </row>
    <row r="42" spans="1:44" s="21" customFormat="1" ht="15.75" customHeight="1" x14ac:dyDescent="0.2">
      <c r="A42" s="88"/>
      <c r="B42" s="117"/>
      <c r="C42" s="118"/>
      <c r="D42" s="244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  <c r="U42" s="245"/>
      <c r="V42" s="245"/>
      <c r="W42" s="245"/>
      <c r="X42" s="246"/>
      <c r="Y42" s="71"/>
      <c r="Z42" s="76"/>
      <c r="AA42" s="85"/>
      <c r="AB42" s="77"/>
      <c r="AC42" s="77"/>
      <c r="AD42" s="77"/>
      <c r="AE42" s="218"/>
      <c r="AF42" s="77"/>
      <c r="AG42" s="71"/>
      <c r="AH42" s="79"/>
      <c r="AO42" s="35"/>
      <c r="AQ42" s="39"/>
      <c r="AR42" s="35"/>
    </row>
    <row r="43" spans="1:44" s="21" customFormat="1" ht="15.75" customHeight="1" x14ac:dyDescent="0.2">
      <c r="A43" s="88"/>
      <c r="B43" s="119"/>
      <c r="C43" s="120"/>
      <c r="D43" s="244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  <c r="U43" s="245"/>
      <c r="V43" s="245"/>
      <c r="W43" s="245"/>
      <c r="X43" s="246"/>
      <c r="Y43" s="71"/>
      <c r="Z43" s="76"/>
      <c r="AA43" s="85"/>
      <c r="AB43" s="77"/>
      <c r="AC43" s="77"/>
      <c r="AD43" s="77"/>
      <c r="AE43" s="218"/>
      <c r="AF43" s="77"/>
      <c r="AG43" s="71"/>
      <c r="AH43" s="79"/>
      <c r="AO43" s="35"/>
      <c r="AP43" s="41"/>
    </row>
    <row r="44" spans="1:44" s="21" customFormat="1" ht="13.5" customHeight="1" x14ac:dyDescent="0.2">
      <c r="A44" s="88"/>
      <c r="B44" s="121"/>
      <c r="C44" s="114"/>
      <c r="D44" s="114"/>
      <c r="E44" s="115"/>
      <c r="F44" s="115"/>
      <c r="G44" s="115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29"/>
      <c r="Y44" s="71"/>
      <c r="Z44" s="76"/>
      <c r="AA44" s="77"/>
      <c r="AB44" s="77"/>
      <c r="AC44" s="77"/>
      <c r="AD44" s="77"/>
      <c r="AE44" s="218"/>
      <c r="AF44" s="77"/>
      <c r="AG44" s="71"/>
      <c r="AH44" s="79"/>
    </row>
    <row r="45" spans="1:44" s="21" customFormat="1" ht="16.149999999999999" customHeight="1" x14ac:dyDescent="0.2">
      <c r="A45" s="88"/>
      <c r="B45" s="304" t="str">
        <f>IF(A1=1,'1'!A113,'1'!B114)</f>
        <v>Zubehör</v>
      </c>
      <c r="C45" s="305"/>
      <c r="D45" s="305"/>
      <c r="E45" s="305"/>
      <c r="F45" s="305"/>
      <c r="G45" s="305"/>
      <c r="H45" s="305"/>
      <c r="I45" s="305"/>
      <c r="J45" s="305"/>
      <c r="K45" s="305"/>
      <c r="L45" s="305"/>
      <c r="M45" s="305"/>
      <c r="N45" s="305"/>
      <c r="O45" s="305"/>
      <c r="P45" s="349"/>
      <c r="Q45" s="349"/>
      <c r="R45" s="349"/>
      <c r="S45" s="349"/>
      <c r="T45" s="350"/>
      <c r="U45" s="350"/>
      <c r="V45" s="350"/>
      <c r="W45" s="350"/>
      <c r="X45" s="351"/>
      <c r="Y45" s="71"/>
      <c r="Z45" s="83"/>
      <c r="AA45" s="82"/>
      <c r="AB45" s="82"/>
      <c r="AC45" s="82"/>
      <c r="AD45" s="82"/>
      <c r="AE45" s="218"/>
      <c r="AF45" s="82"/>
      <c r="AG45" s="79"/>
      <c r="AH45" s="79"/>
    </row>
    <row r="46" spans="1:44" s="21" customFormat="1" ht="16.899999999999999" customHeight="1" x14ac:dyDescent="0.2">
      <c r="A46" s="88"/>
      <c r="B46" s="364" t="str">
        <f>IF(A1=1,'1'!A66,'1'!B66)</f>
        <v>Wird Zubehör vom Kunden beigestellt?</v>
      </c>
      <c r="C46" s="365"/>
      <c r="D46" s="365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6"/>
      <c r="P46" s="376"/>
      <c r="Q46" s="376"/>
      <c r="R46" s="376"/>
      <c r="S46" s="376"/>
      <c r="T46" s="168"/>
      <c r="U46" s="169"/>
      <c r="V46" s="168"/>
      <c r="W46" s="168"/>
      <c r="X46" s="47"/>
      <c r="Y46" s="71"/>
      <c r="Z46" s="83"/>
      <c r="AA46" s="82"/>
      <c r="AB46" s="82"/>
      <c r="AC46" s="82"/>
      <c r="AD46" s="82"/>
      <c r="AE46" s="218"/>
      <c r="AF46" s="82"/>
      <c r="AG46" s="79"/>
      <c r="AH46" s="79"/>
    </row>
    <row r="47" spans="1:44" s="21" customFormat="1" ht="16.899999999999999" customHeight="1" x14ac:dyDescent="0.2">
      <c r="A47" s="88"/>
      <c r="B47" s="364" t="str">
        <f>IF(A1=1,'1'!A67,'1'!B67)</f>
        <v>Das Zubehör vom Kunden muss beigestellt sein bis :</v>
      </c>
      <c r="C47" s="365"/>
      <c r="D47" s="365"/>
      <c r="E47" s="365"/>
      <c r="F47" s="365"/>
      <c r="G47" s="365"/>
      <c r="H47" s="365"/>
      <c r="I47" s="365"/>
      <c r="J47" s="365"/>
      <c r="K47" s="365"/>
      <c r="L47" s="365"/>
      <c r="M47" s="365"/>
      <c r="N47" s="365"/>
      <c r="O47" s="366"/>
      <c r="P47" s="299"/>
      <c r="Q47" s="300"/>
      <c r="R47" s="300"/>
      <c r="S47" s="300"/>
      <c r="T47" s="371"/>
      <c r="U47" s="372"/>
      <c r="V47" s="373"/>
      <c r="W47" s="373"/>
      <c r="X47" s="374"/>
      <c r="Y47" s="71"/>
      <c r="Z47" s="76"/>
      <c r="AA47" s="77"/>
      <c r="AB47" s="77"/>
      <c r="AC47" s="77"/>
      <c r="AD47" s="77"/>
      <c r="AE47" s="218"/>
      <c r="AF47" s="77"/>
      <c r="AG47" s="71"/>
      <c r="AH47" s="79"/>
    </row>
    <row r="48" spans="1:44" s="21" customFormat="1" ht="13.5" customHeight="1" x14ac:dyDescent="0.2">
      <c r="A48" s="88"/>
      <c r="B48" s="235"/>
      <c r="C48" s="236"/>
      <c r="D48" s="236"/>
      <c r="E48" s="236"/>
      <c r="F48" s="236"/>
      <c r="G48" s="236"/>
      <c r="H48" s="236"/>
      <c r="I48" s="236"/>
      <c r="J48" s="237"/>
      <c r="K48" s="236"/>
      <c r="L48" s="377"/>
      <c r="M48" s="378"/>
      <c r="N48" s="378"/>
      <c r="O48" s="236"/>
      <c r="P48" s="307"/>
      <c r="Q48" s="307"/>
      <c r="R48" s="307"/>
      <c r="S48" s="307"/>
      <c r="T48" s="236"/>
      <c r="U48" s="237"/>
      <c r="V48" s="236"/>
      <c r="W48" s="236"/>
      <c r="X48" s="238"/>
      <c r="Y48" s="71"/>
      <c r="Z48" s="76"/>
      <c r="AA48" s="77"/>
      <c r="AB48" s="77"/>
      <c r="AC48" s="77"/>
      <c r="AD48" s="77"/>
      <c r="AE48" s="218"/>
      <c r="AF48" s="77"/>
      <c r="AG48" s="71"/>
      <c r="AH48" s="79"/>
    </row>
    <row r="49" spans="1:42" s="21" customFormat="1" ht="16.149999999999999" customHeight="1" x14ac:dyDescent="0.2">
      <c r="A49" s="88"/>
      <c r="B49" s="304" t="str">
        <f>IF(A1=1,'1'!A114,'1'!B114)</f>
        <v>Kabel oder Funklayout</v>
      </c>
      <c r="C49" s="305"/>
      <c r="D49" s="305"/>
      <c r="E49" s="305"/>
      <c r="F49" s="305"/>
      <c r="G49" s="305"/>
      <c r="H49" s="305"/>
      <c r="I49" s="305"/>
      <c r="J49" s="305"/>
      <c r="K49" s="305"/>
      <c r="L49" s="305"/>
      <c r="M49" s="305"/>
      <c r="N49" s="305"/>
      <c r="O49" s="305"/>
      <c r="P49" s="305"/>
      <c r="Q49" s="305"/>
      <c r="R49" s="305"/>
      <c r="S49" s="305"/>
      <c r="T49" s="305"/>
      <c r="U49" s="305"/>
      <c r="V49" s="305"/>
      <c r="W49" s="305"/>
      <c r="X49" s="306"/>
      <c r="Y49" s="71"/>
      <c r="Z49" s="76"/>
      <c r="AA49" s="77"/>
      <c r="AB49" s="77"/>
      <c r="AC49" s="77"/>
      <c r="AD49" s="77"/>
      <c r="AE49" s="218"/>
      <c r="AF49" s="77"/>
      <c r="AG49" s="71"/>
      <c r="AH49" s="79"/>
    </row>
    <row r="50" spans="1:42" s="21" customFormat="1" ht="16.899999999999999" customHeight="1" x14ac:dyDescent="0.2">
      <c r="A50" s="88"/>
      <c r="B50" s="301" t="str">
        <f>IF(A1=1,'1'!A68,'1'!B68)</f>
        <v>Hat sich das Kabel oder Funklayout geändert?</v>
      </c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2"/>
      <c r="O50" s="303"/>
      <c r="P50" s="367"/>
      <c r="Q50" s="368"/>
      <c r="R50" s="368"/>
      <c r="S50" s="368"/>
      <c r="T50" s="368"/>
      <c r="U50" s="369"/>
      <c r="V50" s="368"/>
      <c r="W50" s="368"/>
      <c r="X50" s="370"/>
      <c r="Y50" s="71"/>
      <c r="Z50" s="76"/>
      <c r="AA50" s="77"/>
      <c r="AB50" s="77"/>
      <c r="AC50" s="77"/>
      <c r="AD50" s="77"/>
      <c r="AE50" s="218"/>
      <c r="AF50" s="77"/>
      <c r="AG50" s="71"/>
      <c r="AH50" s="79"/>
    </row>
    <row r="51" spans="1:42" s="21" customFormat="1" ht="13.5" customHeight="1" x14ac:dyDescent="0.2">
      <c r="A51" s="88"/>
      <c r="B51" s="144"/>
      <c r="C51" s="114"/>
      <c r="D51" s="114"/>
      <c r="E51" s="115"/>
      <c r="F51" s="115"/>
      <c r="G51" s="115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29"/>
      <c r="Y51" s="71"/>
      <c r="Z51" s="76"/>
      <c r="AA51" s="77"/>
      <c r="AB51" s="77"/>
      <c r="AC51" s="77"/>
      <c r="AD51" s="77"/>
      <c r="AE51" s="218"/>
      <c r="AF51" s="77"/>
      <c r="AG51" s="71"/>
      <c r="AH51" s="79"/>
    </row>
    <row r="52" spans="1:42" s="21" customFormat="1" ht="18.2" customHeight="1" x14ac:dyDescent="0.2">
      <c r="A52" s="232"/>
      <c r="B52" s="304" t="str">
        <f>IF(A1=1,'1'!A115,'1'!B115)</f>
        <v>Positionierung Fahrzeugbeleuchtung</v>
      </c>
      <c r="C52" s="305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06"/>
      <c r="Y52" s="71"/>
      <c r="Z52" s="76"/>
      <c r="AA52" s="77"/>
      <c r="AB52" s="77"/>
      <c r="AC52" s="77"/>
      <c r="AD52" s="77"/>
      <c r="AE52" s="218"/>
      <c r="AF52" s="77"/>
      <c r="AG52" s="71"/>
      <c r="AH52" s="79"/>
      <c r="AO52" s="39"/>
    </row>
    <row r="53" spans="1:42" s="21" customFormat="1" ht="13.5" customHeight="1" x14ac:dyDescent="0.2">
      <c r="A53" s="89"/>
      <c r="B53" s="143"/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50"/>
      <c r="Y53" s="71"/>
      <c r="Z53" s="76"/>
      <c r="AA53" s="77"/>
      <c r="AB53" s="77"/>
      <c r="AC53" s="77"/>
      <c r="AD53" s="77"/>
      <c r="AE53" s="218"/>
      <c r="AF53" s="77"/>
      <c r="AG53" s="71"/>
      <c r="AH53" s="79"/>
    </row>
    <row r="54" spans="1:42" s="21" customFormat="1" ht="13.5" customHeight="1" x14ac:dyDescent="0.2">
      <c r="A54" s="88"/>
      <c r="B54" s="151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52"/>
      <c r="Y54" s="71"/>
      <c r="Z54" s="76"/>
      <c r="AA54" s="77"/>
      <c r="AB54" s="77"/>
      <c r="AC54" s="77"/>
      <c r="AD54" s="77"/>
      <c r="AE54" s="218"/>
      <c r="AF54" s="77"/>
      <c r="AG54" s="71"/>
      <c r="AH54" s="79"/>
      <c r="AP54" s="41"/>
    </row>
    <row r="55" spans="1:42" s="21" customFormat="1" ht="13.5" customHeight="1" x14ac:dyDescent="0.2">
      <c r="A55" s="88"/>
      <c r="B55" s="151"/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52"/>
      <c r="Y55" s="71"/>
      <c r="Z55" s="76"/>
      <c r="AA55" s="77"/>
      <c r="AB55" s="77"/>
      <c r="AC55" s="77"/>
      <c r="AD55" s="77"/>
      <c r="AE55" s="218"/>
      <c r="AF55" s="77"/>
      <c r="AG55" s="71"/>
      <c r="AH55" s="79"/>
      <c r="AP55" s="42"/>
    </row>
    <row r="56" spans="1:42" s="21" customFormat="1" ht="13.5" customHeight="1" x14ac:dyDescent="0.2">
      <c r="A56" s="88"/>
      <c r="B56" s="151"/>
      <c r="C56" s="130"/>
      <c r="D56" s="130"/>
      <c r="E56" s="130"/>
      <c r="F56" s="166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52"/>
      <c r="Y56" s="71"/>
      <c r="Z56" s="76"/>
      <c r="AA56" s="77"/>
      <c r="AB56" s="77"/>
      <c r="AC56" s="77"/>
      <c r="AD56" s="77"/>
      <c r="AE56" s="218"/>
      <c r="AF56" s="77"/>
      <c r="AG56" s="71"/>
      <c r="AH56" s="79"/>
      <c r="AP56" s="41"/>
    </row>
    <row r="57" spans="1:42" s="21" customFormat="1" ht="13.5" customHeight="1" x14ac:dyDescent="0.2">
      <c r="A57" s="88"/>
      <c r="B57" s="151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52"/>
      <c r="Y57" s="71"/>
      <c r="Z57" s="76"/>
      <c r="AA57" s="77"/>
      <c r="AB57" s="77"/>
      <c r="AC57" s="77"/>
      <c r="AD57" s="77"/>
      <c r="AE57" s="218"/>
      <c r="AF57" s="77"/>
      <c r="AG57" s="71"/>
      <c r="AH57" s="79"/>
      <c r="AP57" s="41"/>
    </row>
    <row r="58" spans="1:42" s="21" customFormat="1" ht="13.9" customHeight="1" x14ac:dyDescent="0.2">
      <c r="A58" s="88"/>
      <c r="B58" s="151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52"/>
      <c r="Y58" s="71"/>
      <c r="Z58" s="76"/>
      <c r="AA58" s="77"/>
      <c r="AB58" s="77"/>
      <c r="AC58" s="77"/>
      <c r="AD58" s="77"/>
      <c r="AE58" s="218"/>
      <c r="AF58" s="77"/>
      <c r="AG58" s="71"/>
      <c r="AH58" s="79"/>
      <c r="AP58" s="41"/>
    </row>
    <row r="59" spans="1:42" s="21" customFormat="1" ht="13.9" customHeight="1" x14ac:dyDescent="0.2">
      <c r="A59" s="88"/>
      <c r="B59" s="151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52"/>
      <c r="Y59" s="71"/>
      <c r="Z59" s="76"/>
      <c r="AA59" s="77"/>
      <c r="AB59" s="77"/>
      <c r="AC59" s="77"/>
      <c r="AD59" s="77"/>
      <c r="AE59" s="218"/>
      <c r="AF59" s="77"/>
      <c r="AG59" s="71"/>
      <c r="AH59" s="79"/>
      <c r="AP59" s="41"/>
    </row>
    <row r="60" spans="1:42" s="21" customFormat="1" ht="13.9" customHeight="1" x14ac:dyDescent="0.2">
      <c r="A60" s="88"/>
      <c r="B60" s="151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65"/>
      <c r="S60" s="130"/>
      <c r="T60" s="130"/>
      <c r="U60" s="130"/>
      <c r="V60" s="130"/>
      <c r="W60" s="130"/>
      <c r="X60" s="152"/>
      <c r="Y60" s="71"/>
      <c r="Z60" s="76"/>
      <c r="AA60" s="77"/>
      <c r="AB60" s="77"/>
      <c r="AC60" s="77"/>
      <c r="AD60" s="77"/>
      <c r="AE60" s="218"/>
      <c r="AF60" s="77"/>
      <c r="AG60" s="71"/>
      <c r="AH60" s="79"/>
      <c r="AP60" s="41"/>
    </row>
    <row r="61" spans="1:42" s="21" customFormat="1" ht="13.9" customHeight="1" x14ac:dyDescent="0.2">
      <c r="A61" s="88"/>
      <c r="B61" s="151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52"/>
      <c r="Y61" s="71"/>
      <c r="Z61" s="76"/>
      <c r="AA61" s="77"/>
      <c r="AB61" s="77"/>
      <c r="AC61" s="77"/>
      <c r="AD61" s="77"/>
      <c r="AE61" s="218"/>
      <c r="AF61" s="77"/>
      <c r="AG61" s="71"/>
      <c r="AH61" s="79"/>
      <c r="AP61" s="41"/>
    </row>
    <row r="62" spans="1:42" s="21" customFormat="1" ht="16.899999999999999" customHeight="1" x14ac:dyDescent="0.2">
      <c r="A62" s="88"/>
      <c r="B62" s="151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52"/>
      <c r="Y62" s="71"/>
      <c r="Z62" s="76"/>
      <c r="AA62" s="77"/>
      <c r="AB62" s="77"/>
      <c r="AC62" s="77"/>
      <c r="AD62" s="77"/>
      <c r="AE62" s="218"/>
      <c r="AF62" s="77"/>
      <c r="AG62" s="71"/>
      <c r="AH62" s="79"/>
      <c r="AI62" s="54"/>
      <c r="AJ62" s="54"/>
      <c r="AK62" s="54"/>
      <c r="AL62" s="54"/>
    </row>
    <row r="63" spans="1:42" s="21" customFormat="1" ht="13.9" customHeight="1" x14ac:dyDescent="0.2">
      <c r="A63" s="88"/>
      <c r="B63" s="151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52"/>
      <c r="Y63" s="71"/>
      <c r="Z63" s="76"/>
      <c r="AA63" s="77"/>
      <c r="AB63" s="77"/>
      <c r="AC63" s="77"/>
      <c r="AD63" s="77"/>
      <c r="AE63" s="218"/>
      <c r="AF63" s="77"/>
      <c r="AG63" s="71"/>
      <c r="AH63" s="79"/>
      <c r="AI63" s="54"/>
      <c r="AJ63" s="54"/>
      <c r="AK63" s="54"/>
      <c r="AL63" s="54"/>
    </row>
    <row r="64" spans="1:42" s="21" customFormat="1" ht="13.9" customHeight="1" x14ac:dyDescent="0.2">
      <c r="A64" s="88"/>
      <c r="B64" s="151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52"/>
      <c r="Y64" s="71"/>
      <c r="Z64" s="83"/>
      <c r="AA64" s="82"/>
      <c r="AB64" s="82"/>
      <c r="AC64" s="82"/>
      <c r="AD64" s="82"/>
      <c r="AE64" s="218"/>
      <c r="AF64" s="82"/>
      <c r="AG64" s="79"/>
      <c r="AH64" s="79"/>
    </row>
    <row r="65" spans="1:39" s="21" customFormat="1" ht="13.9" customHeight="1" x14ac:dyDescent="0.2">
      <c r="A65" s="88"/>
      <c r="B65" s="151"/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52"/>
      <c r="Y65" s="71"/>
      <c r="Z65" s="83"/>
      <c r="AA65" s="82"/>
      <c r="AB65" s="82"/>
      <c r="AC65" s="82"/>
      <c r="AD65" s="82"/>
      <c r="AE65" s="218"/>
      <c r="AF65" s="82"/>
      <c r="AG65" s="79"/>
      <c r="AH65" s="79"/>
    </row>
    <row r="66" spans="1:39" s="21" customFormat="1" ht="16.899999999999999" customHeight="1" x14ac:dyDescent="0.2">
      <c r="A66" s="88"/>
      <c r="B66" s="151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52"/>
      <c r="Y66" s="71"/>
      <c r="Z66" s="83"/>
      <c r="AA66" s="82"/>
      <c r="AB66" s="86"/>
      <c r="AC66" s="82"/>
      <c r="AD66" s="86"/>
      <c r="AE66" s="218"/>
      <c r="AF66" s="86" t="s">
        <v>137</v>
      </c>
      <c r="AG66" s="79"/>
      <c r="AH66" s="79"/>
    </row>
    <row r="67" spans="1:39" s="21" customFormat="1" ht="16.899999999999999" customHeight="1" x14ac:dyDescent="0.2">
      <c r="A67" s="88"/>
      <c r="B67" s="153"/>
      <c r="C67" s="154"/>
      <c r="D67" s="154"/>
      <c r="E67" s="154"/>
      <c r="F67" s="154"/>
      <c r="G67" s="154"/>
      <c r="H67" s="154"/>
      <c r="I67" s="154"/>
      <c r="J67" s="154"/>
      <c r="K67" s="154"/>
      <c r="L67" s="154"/>
      <c r="M67" s="154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5"/>
      <c r="Y67" s="71"/>
      <c r="Z67" s="83"/>
      <c r="AA67" s="82"/>
      <c r="AB67" s="83"/>
      <c r="AC67" s="82"/>
      <c r="AD67" s="83"/>
      <c r="AE67" s="218"/>
      <c r="AF67" s="82"/>
      <c r="AG67" s="79"/>
      <c r="AH67" s="79"/>
    </row>
    <row r="68" spans="1:39" s="21" customFormat="1" ht="19.149999999999999" customHeight="1" x14ac:dyDescent="0.2">
      <c r="A68" s="88">
        <f>ROW()</f>
        <v>68</v>
      </c>
      <c r="B68" s="139" t="str">
        <f>IF(A1=1,'1'!A109,'1'!B109)</f>
        <v>Nr.:</v>
      </c>
      <c r="C68" s="139" t="str">
        <f>IF(A1=1,'1'!A110,'1'!B110)</f>
        <v>Typ:</v>
      </c>
      <c r="D68" s="140"/>
      <c r="E68" s="140"/>
      <c r="F68" s="140"/>
      <c r="G68" s="140"/>
      <c r="H68" s="140"/>
      <c r="I68" s="140"/>
      <c r="J68" s="139" t="str">
        <f>IF(A1=1,'1'!A111,'1'!B111)</f>
        <v>Position:</v>
      </c>
      <c r="K68" s="139"/>
      <c r="L68" s="139"/>
      <c r="M68" s="140"/>
      <c r="N68" s="140"/>
      <c r="O68" s="140"/>
      <c r="P68" s="140"/>
      <c r="Q68" s="140"/>
      <c r="R68" s="140"/>
      <c r="S68" s="140"/>
      <c r="T68" s="140"/>
      <c r="U68" s="139" t="str">
        <f>IF(A1=1,'1'!A112,'1'!B112)</f>
        <v>Bedienung vom:</v>
      </c>
      <c r="V68" s="139"/>
      <c r="W68" s="139"/>
      <c r="X68" s="170"/>
      <c r="Y68" s="72"/>
      <c r="Z68" s="87"/>
      <c r="AA68" s="87" t="s">
        <v>161</v>
      </c>
      <c r="AB68" s="87" t="s">
        <v>164</v>
      </c>
      <c r="AC68" s="87" t="s">
        <v>165</v>
      </c>
      <c r="AD68" s="87" t="s">
        <v>166</v>
      </c>
      <c r="AE68" s="222" t="s">
        <v>167</v>
      </c>
      <c r="AF68" s="87" t="s">
        <v>163</v>
      </c>
      <c r="AG68" s="80" t="s">
        <v>162</v>
      </c>
      <c r="AH68" s="80" t="s">
        <v>168</v>
      </c>
      <c r="AI68" s="21" t="s">
        <v>250</v>
      </c>
      <c r="AJ68" s="21" t="s">
        <v>251</v>
      </c>
      <c r="AK68" s="21" t="s">
        <v>252</v>
      </c>
      <c r="AL68" s="21" t="s">
        <v>253</v>
      </c>
      <c r="AM68" s="21" t="s">
        <v>282</v>
      </c>
    </row>
    <row r="69" spans="1:39" s="21" customFormat="1" ht="15.75" customHeight="1" x14ac:dyDescent="0.2">
      <c r="A69" s="88" t="str">
        <f>IF($C69&lt;&gt;"",COUNTA($C$68:$D69)-1,"")</f>
        <v/>
      </c>
      <c r="B69" s="61" t="str">
        <f>IF($D69&lt;&gt;"",COUNTA($D$68:$D69),"")</f>
        <v/>
      </c>
      <c r="C69" s="308"/>
      <c r="D69" s="309"/>
      <c r="E69" s="309"/>
      <c r="F69" s="309"/>
      <c r="G69" s="309"/>
      <c r="H69" s="309"/>
      <c r="I69" s="310"/>
      <c r="J69" s="375"/>
      <c r="K69" s="257"/>
      <c r="L69" s="257"/>
      <c r="M69" s="257"/>
      <c r="N69" s="257"/>
      <c r="O69" s="257"/>
      <c r="P69" s="257"/>
      <c r="Q69" s="257"/>
      <c r="R69" s="257"/>
      <c r="S69" s="257"/>
      <c r="T69" s="258"/>
      <c r="U69" s="261"/>
      <c r="V69" s="262"/>
      <c r="W69" s="262"/>
      <c r="X69" s="263"/>
      <c r="Y69" s="73"/>
      <c r="Z69" s="88"/>
      <c r="AA69" s="88"/>
      <c r="AB69" s="86"/>
      <c r="AC69" s="82"/>
      <c r="AD69" s="89"/>
      <c r="AE69" s="217"/>
      <c r="AF69" s="89" t="str">
        <f>IF(ISBLANK(C69),"",$AF$66)</f>
        <v/>
      </c>
      <c r="AG69" s="81" t="str">
        <f t="shared" ref="AG69:AG81" si="0">A69</f>
        <v/>
      </c>
      <c r="AH69" s="81" t="str">
        <f t="shared" ref="AH69:AH81" si="1">AG69</f>
        <v/>
      </c>
      <c r="AI69" s="65"/>
      <c r="AJ69" s="65"/>
      <c r="AK69" s="96"/>
      <c r="AL69" s="65"/>
      <c r="AM69" s="97"/>
    </row>
    <row r="70" spans="1:39" s="21" customFormat="1" ht="15.75" customHeight="1" x14ac:dyDescent="0.2">
      <c r="A70" s="88" t="str">
        <f>IF($C70&lt;&gt;"",COUNTA($C$68:$D70)-1,"")</f>
        <v/>
      </c>
      <c r="B70" s="61" t="str">
        <f>IF($D70&lt;&gt;"",COUNTA($D$68:$D70),"")</f>
        <v/>
      </c>
      <c r="C70" s="308"/>
      <c r="D70" s="309"/>
      <c r="E70" s="309"/>
      <c r="F70" s="309"/>
      <c r="G70" s="309"/>
      <c r="H70" s="309"/>
      <c r="I70" s="310"/>
      <c r="J70" s="375"/>
      <c r="K70" s="257"/>
      <c r="L70" s="257"/>
      <c r="M70" s="257"/>
      <c r="N70" s="257"/>
      <c r="O70" s="257"/>
      <c r="P70" s="257"/>
      <c r="Q70" s="257"/>
      <c r="R70" s="257"/>
      <c r="S70" s="257"/>
      <c r="T70" s="258"/>
      <c r="U70" s="261"/>
      <c r="V70" s="262"/>
      <c r="W70" s="262"/>
      <c r="X70" s="263"/>
      <c r="Y70" s="73"/>
      <c r="Z70" s="88"/>
      <c r="AA70" s="88"/>
      <c r="AB70" s="86"/>
      <c r="AC70" s="82"/>
      <c r="AD70" s="89"/>
      <c r="AE70" s="217"/>
      <c r="AF70" s="89" t="str">
        <f>IF(ISBLANK(C70),"",$AF$66)</f>
        <v/>
      </c>
      <c r="AG70" s="81" t="str">
        <f t="shared" si="0"/>
        <v/>
      </c>
      <c r="AH70" s="81" t="str">
        <f t="shared" si="1"/>
        <v/>
      </c>
      <c r="AI70" s="65"/>
      <c r="AJ70" s="65"/>
      <c r="AK70" s="96"/>
      <c r="AL70" s="65"/>
      <c r="AM70" s="97"/>
    </row>
    <row r="71" spans="1:39" s="21" customFormat="1" ht="15.75" customHeight="1" x14ac:dyDescent="0.2">
      <c r="A71" s="88" t="str">
        <f>IF($C71&lt;&gt;"",COUNTA($C$68:$D71)-1,"")</f>
        <v/>
      </c>
      <c r="B71" s="61" t="str">
        <f>IF($D71&lt;&gt;"",COUNTA($D$68:$D71),"")</f>
        <v/>
      </c>
      <c r="C71" s="308"/>
      <c r="D71" s="309"/>
      <c r="E71" s="309"/>
      <c r="F71" s="309"/>
      <c r="G71" s="309"/>
      <c r="H71" s="309"/>
      <c r="I71" s="310"/>
      <c r="J71" s="375"/>
      <c r="K71" s="257"/>
      <c r="L71" s="257"/>
      <c r="M71" s="257"/>
      <c r="N71" s="257"/>
      <c r="O71" s="257"/>
      <c r="P71" s="257"/>
      <c r="Q71" s="257"/>
      <c r="R71" s="257"/>
      <c r="S71" s="257"/>
      <c r="T71" s="258"/>
      <c r="U71" s="261"/>
      <c r="V71" s="262"/>
      <c r="W71" s="262"/>
      <c r="X71" s="263"/>
      <c r="Y71" s="73"/>
      <c r="Z71" s="88"/>
      <c r="AA71" s="88"/>
      <c r="AB71" s="86"/>
      <c r="AC71" s="82"/>
      <c r="AD71" s="89"/>
      <c r="AE71" s="217"/>
      <c r="AF71" s="89" t="str">
        <f>IF(ISBLANK(C71),"",$AF$66)</f>
        <v/>
      </c>
      <c r="AG71" s="81" t="str">
        <f t="shared" si="0"/>
        <v/>
      </c>
      <c r="AH71" s="81" t="str">
        <f t="shared" si="1"/>
        <v/>
      </c>
      <c r="AI71" s="65"/>
      <c r="AJ71" s="65"/>
      <c r="AK71" s="96"/>
      <c r="AL71" s="65"/>
      <c r="AM71" s="97"/>
    </row>
    <row r="72" spans="1:39" s="21" customFormat="1" ht="15.75" customHeight="1" x14ac:dyDescent="0.2">
      <c r="A72" s="88" t="str">
        <f>IF($C72&lt;&gt;"",COUNTA($C$68:$D72)-1,"")</f>
        <v/>
      </c>
      <c r="B72" s="61" t="str">
        <f>IF($D72&lt;&gt;"",COUNTA($D$68:$D72),"")</f>
        <v/>
      </c>
      <c r="C72" s="253"/>
      <c r="D72" s="254"/>
      <c r="E72" s="254"/>
      <c r="F72" s="254"/>
      <c r="G72" s="254"/>
      <c r="H72" s="254"/>
      <c r="I72" s="255"/>
      <c r="J72" s="256"/>
      <c r="K72" s="257"/>
      <c r="L72" s="257"/>
      <c r="M72" s="257"/>
      <c r="N72" s="257"/>
      <c r="O72" s="257"/>
      <c r="P72" s="257"/>
      <c r="Q72" s="257"/>
      <c r="R72" s="257"/>
      <c r="S72" s="257"/>
      <c r="T72" s="258"/>
      <c r="U72" s="261"/>
      <c r="V72" s="262"/>
      <c r="W72" s="262"/>
      <c r="X72" s="263"/>
      <c r="Y72" s="73"/>
      <c r="Z72" s="88"/>
      <c r="AA72" s="88"/>
      <c r="AB72" s="86"/>
      <c r="AC72" s="82"/>
      <c r="AD72" s="89"/>
      <c r="AE72" s="217"/>
      <c r="AF72" s="89" t="str">
        <f t="shared" ref="AF72:AF81" si="2">IF(ISBLANK(C72),"",$AF$66)</f>
        <v/>
      </c>
      <c r="AG72" s="81" t="str">
        <f t="shared" si="0"/>
        <v/>
      </c>
      <c r="AH72" s="81" t="str">
        <f t="shared" si="1"/>
        <v/>
      </c>
      <c r="AI72" s="65"/>
      <c r="AJ72" s="65"/>
      <c r="AK72" s="96"/>
      <c r="AL72" s="65"/>
      <c r="AM72" s="97"/>
    </row>
    <row r="73" spans="1:39" s="21" customFormat="1" ht="15.75" customHeight="1" x14ac:dyDescent="0.2">
      <c r="A73" s="233" t="str">
        <f>IF($C73&lt;&gt;"",COUNTA($C$68:$D73)-1,"")</f>
        <v/>
      </c>
      <c r="B73" s="61" t="str">
        <f>IF($D73&lt;&gt;"",COUNTA($D$68:$D73),"")</f>
        <v/>
      </c>
      <c r="C73" s="253"/>
      <c r="D73" s="254"/>
      <c r="E73" s="254"/>
      <c r="F73" s="254"/>
      <c r="G73" s="254"/>
      <c r="H73" s="254"/>
      <c r="I73" s="255"/>
      <c r="J73" s="256"/>
      <c r="K73" s="257"/>
      <c r="L73" s="257"/>
      <c r="M73" s="257"/>
      <c r="N73" s="257"/>
      <c r="O73" s="257"/>
      <c r="P73" s="257"/>
      <c r="Q73" s="257"/>
      <c r="R73" s="257"/>
      <c r="S73" s="257"/>
      <c r="T73" s="258"/>
      <c r="U73" s="261"/>
      <c r="V73" s="262"/>
      <c r="W73" s="262"/>
      <c r="X73" s="263"/>
      <c r="Y73" s="73"/>
      <c r="Z73" s="88"/>
      <c r="AA73" s="88"/>
      <c r="AB73" s="86"/>
      <c r="AC73" s="82"/>
      <c r="AD73" s="89"/>
      <c r="AE73" s="217"/>
      <c r="AF73" s="89" t="str">
        <f t="shared" si="2"/>
        <v/>
      </c>
      <c r="AG73" s="81" t="str">
        <f t="shared" si="0"/>
        <v/>
      </c>
      <c r="AH73" s="81" t="str">
        <f t="shared" si="1"/>
        <v/>
      </c>
      <c r="AI73" s="65"/>
      <c r="AJ73" s="65"/>
      <c r="AK73" s="96"/>
      <c r="AL73" s="65"/>
      <c r="AM73" s="97"/>
    </row>
    <row r="74" spans="1:39" s="21" customFormat="1" ht="15.75" customHeight="1" x14ac:dyDescent="0.2">
      <c r="A74" s="233" t="str">
        <f>IF($C74&lt;&gt;"",COUNTA($C$68:$D74)-1,"")</f>
        <v/>
      </c>
      <c r="B74" s="61" t="str">
        <f>IF($D74&lt;&gt;"",COUNTA($D$68:$D74),"")</f>
        <v/>
      </c>
      <c r="C74" s="253"/>
      <c r="D74" s="254"/>
      <c r="E74" s="254"/>
      <c r="F74" s="254"/>
      <c r="G74" s="254"/>
      <c r="H74" s="254"/>
      <c r="I74" s="255"/>
      <c r="J74" s="256"/>
      <c r="K74" s="257"/>
      <c r="L74" s="257"/>
      <c r="M74" s="257"/>
      <c r="N74" s="257"/>
      <c r="O74" s="257"/>
      <c r="P74" s="257"/>
      <c r="Q74" s="257"/>
      <c r="R74" s="257"/>
      <c r="S74" s="257"/>
      <c r="T74" s="258"/>
      <c r="U74" s="261"/>
      <c r="V74" s="262"/>
      <c r="W74" s="262"/>
      <c r="X74" s="263"/>
      <c r="Y74" s="73"/>
      <c r="Z74" s="88"/>
      <c r="AA74" s="88"/>
      <c r="AB74" s="86"/>
      <c r="AC74" s="82"/>
      <c r="AD74" s="89"/>
      <c r="AE74" s="217"/>
      <c r="AF74" s="89" t="str">
        <f t="shared" ref="AF74" si="3">IF(ISBLANK(C74),"",$AF$66)</f>
        <v/>
      </c>
      <c r="AG74" s="81" t="str">
        <f t="shared" ref="AG74" si="4">A74</f>
        <v/>
      </c>
      <c r="AH74" s="81" t="str">
        <f t="shared" ref="AH74" si="5">AG74</f>
        <v/>
      </c>
      <c r="AI74" s="65"/>
      <c r="AJ74" s="65"/>
      <c r="AK74" s="96"/>
      <c r="AL74" s="65"/>
      <c r="AM74" s="97"/>
    </row>
    <row r="75" spans="1:39" s="21" customFormat="1" ht="15.75" customHeight="1" x14ac:dyDescent="0.2">
      <c r="A75" s="233" t="str">
        <f>IF($C75&lt;&gt;"",COUNTA($C$68:$D75)-1,"")</f>
        <v/>
      </c>
      <c r="B75" s="61" t="str">
        <f>IF($D75&lt;&gt;"",COUNTA($D$68:$D75),"")</f>
        <v/>
      </c>
      <c r="C75" s="253"/>
      <c r="D75" s="254"/>
      <c r="E75" s="254"/>
      <c r="F75" s="254"/>
      <c r="G75" s="254"/>
      <c r="H75" s="254"/>
      <c r="I75" s="255"/>
      <c r="J75" s="256"/>
      <c r="K75" s="257"/>
      <c r="L75" s="257"/>
      <c r="M75" s="257"/>
      <c r="N75" s="257"/>
      <c r="O75" s="257"/>
      <c r="P75" s="257"/>
      <c r="Q75" s="257"/>
      <c r="R75" s="257"/>
      <c r="S75" s="257"/>
      <c r="T75" s="258"/>
      <c r="U75" s="261"/>
      <c r="V75" s="262"/>
      <c r="W75" s="262"/>
      <c r="X75" s="263"/>
      <c r="Y75" s="73"/>
      <c r="Z75" s="88"/>
      <c r="AA75" s="88"/>
      <c r="AB75" s="86"/>
      <c r="AC75" s="82"/>
      <c r="AD75" s="89"/>
      <c r="AE75" s="217"/>
      <c r="AF75" s="89" t="str">
        <f t="shared" si="2"/>
        <v/>
      </c>
      <c r="AG75" s="81" t="str">
        <f t="shared" si="0"/>
        <v/>
      </c>
      <c r="AH75" s="81" t="str">
        <f t="shared" si="1"/>
        <v/>
      </c>
      <c r="AI75" s="65"/>
      <c r="AJ75" s="65"/>
      <c r="AK75" s="96"/>
      <c r="AL75" s="65"/>
      <c r="AM75" s="97"/>
    </row>
    <row r="76" spans="1:39" s="21" customFormat="1" ht="15.75" customHeight="1" x14ac:dyDescent="0.2">
      <c r="A76" s="233" t="str">
        <f>IF($C76&lt;&gt;"",COUNTA($C$68:$D76)-1,"")</f>
        <v/>
      </c>
      <c r="B76" s="61" t="str">
        <f>IF($D76&lt;&gt;"",COUNTA($D$68:$D76),"")</f>
        <v/>
      </c>
      <c r="C76" s="253"/>
      <c r="D76" s="254"/>
      <c r="E76" s="254"/>
      <c r="F76" s="254"/>
      <c r="G76" s="254"/>
      <c r="H76" s="254"/>
      <c r="I76" s="255"/>
      <c r="J76" s="256"/>
      <c r="K76" s="257"/>
      <c r="L76" s="257"/>
      <c r="M76" s="257"/>
      <c r="N76" s="257"/>
      <c r="O76" s="257"/>
      <c r="P76" s="257"/>
      <c r="Q76" s="257"/>
      <c r="R76" s="257"/>
      <c r="S76" s="257"/>
      <c r="T76" s="258"/>
      <c r="U76" s="261"/>
      <c r="V76" s="262"/>
      <c r="W76" s="262"/>
      <c r="X76" s="263"/>
      <c r="Y76" s="73"/>
      <c r="Z76" s="88"/>
      <c r="AA76" s="88"/>
      <c r="AB76" s="86"/>
      <c r="AC76" s="82"/>
      <c r="AD76" s="89"/>
      <c r="AE76" s="217"/>
      <c r="AF76" s="89" t="str">
        <f t="shared" ref="AF76" si="6">IF(ISBLANK(C76),"",$AF$66)</f>
        <v/>
      </c>
      <c r="AG76" s="81" t="str">
        <f t="shared" ref="AG76" si="7">A76</f>
        <v/>
      </c>
      <c r="AH76" s="81" t="str">
        <f t="shared" ref="AH76" si="8">AG76</f>
        <v/>
      </c>
      <c r="AI76" s="65"/>
      <c r="AJ76" s="65"/>
      <c r="AK76" s="96"/>
      <c r="AL76" s="65"/>
      <c r="AM76" s="97"/>
    </row>
    <row r="77" spans="1:39" s="21" customFormat="1" ht="15.75" customHeight="1" x14ac:dyDescent="0.2">
      <c r="A77" s="233" t="str">
        <f>IF($C77&lt;&gt;"",COUNTA($C$68:$D77)-1,"")</f>
        <v/>
      </c>
      <c r="B77" s="61" t="str">
        <f>IF($D77&lt;&gt;"",COUNTA($D$68:$D77),"")</f>
        <v/>
      </c>
      <c r="C77" s="253"/>
      <c r="D77" s="254"/>
      <c r="E77" s="254"/>
      <c r="F77" s="254"/>
      <c r="G77" s="254"/>
      <c r="H77" s="254"/>
      <c r="I77" s="255"/>
      <c r="J77" s="256"/>
      <c r="K77" s="257"/>
      <c r="L77" s="257"/>
      <c r="M77" s="257"/>
      <c r="N77" s="257"/>
      <c r="O77" s="257"/>
      <c r="P77" s="257"/>
      <c r="Q77" s="257"/>
      <c r="R77" s="257"/>
      <c r="S77" s="257"/>
      <c r="T77" s="258"/>
      <c r="U77" s="261"/>
      <c r="V77" s="262"/>
      <c r="W77" s="262"/>
      <c r="X77" s="263"/>
      <c r="Y77" s="73"/>
      <c r="Z77" s="88"/>
      <c r="AA77" s="88"/>
      <c r="AB77" s="86"/>
      <c r="AC77" s="82"/>
      <c r="AD77" s="89"/>
      <c r="AE77" s="217"/>
      <c r="AF77" s="89" t="str">
        <f t="shared" si="2"/>
        <v/>
      </c>
      <c r="AG77" s="81" t="str">
        <f t="shared" si="0"/>
        <v/>
      </c>
      <c r="AH77" s="81" t="str">
        <f t="shared" si="1"/>
        <v/>
      </c>
      <c r="AI77" s="65"/>
      <c r="AJ77" s="65"/>
      <c r="AK77" s="96"/>
      <c r="AL77" s="65"/>
      <c r="AM77" s="97"/>
    </row>
    <row r="78" spans="1:39" s="21" customFormat="1" ht="15.75" customHeight="1" x14ac:dyDescent="0.2">
      <c r="A78" s="233" t="str">
        <f>IF($C78&lt;&gt;"",COUNTA($C$68:$D78)-1,"")</f>
        <v/>
      </c>
      <c r="B78" s="61" t="str">
        <f>IF($D78&lt;&gt;"",COUNTA($D$68:$D78),"")</f>
        <v/>
      </c>
      <c r="C78" s="253"/>
      <c r="D78" s="254"/>
      <c r="E78" s="254"/>
      <c r="F78" s="254"/>
      <c r="G78" s="254"/>
      <c r="H78" s="254"/>
      <c r="I78" s="255"/>
      <c r="J78" s="256"/>
      <c r="K78" s="257"/>
      <c r="L78" s="257"/>
      <c r="M78" s="257"/>
      <c r="N78" s="257"/>
      <c r="O78" s="257"/>
      <c r="P78" s="257"/>
      <c r="Q78" s="257"/>
      <c r="R78" s="257"/>
      <c r="S78" s="257"/>
      <c r="T78" s="258"/>
      <c r="U78" s="261"/>
      <c r="V78" s="262"/>
      <c r="W78" s="262"/>
      <c r="X78" s="263"/>
      <c r="Y78" s="73"/>
      <c r="Z78" s="88"/>
      <c r="AA78" s="88"/>
      <c r="AB78" s="86"/>
      <c r="AC78" s="82"/>
      <c r="AD78" s="89"/>
      <c r="AE78" s="217"/>
      <c r="AF78" s="89" t="str">
        <f t="shared" si="2"/>
        <v/>
      </c>
      <c r="AG78" s="81" t="str">
        <f t="shared" si="0"/>
        <v/>
      </c>
      <c r="AH78" s="81" t="str">
        <f t="shared" si="1"/>
        <v/>
      </c>
      <c r="AI78" s="65"/>
      <c r="AJ78" s="65"/>
      <c r="AK78" s="96"/>
      <c r="AL78" s="65"/>
      <c r="AM78" s="97"/>
    </row>
    <row r="79" spans="1:39" s="21" customFormat="1" ht="15.75" customHeight="1" x14ac:dyDescent="0.2">
      <c r="A79" s="233" t="str">
        <f>IF($C79&lt;&gt;"",COUNTA($C$68:$D79)-1,"")</f>
        <v/>
      </c>
      <c r="B79" s="61" t="str">
        <f>IF($D79&lt;&gt;"",COUNTA($D$68:$D79),"")</f>
        <v/>
      </c>
      <c r="C79" s="253"/>
      <c r="D79" s="254"/>
      <c r="E79" s="254"/>
      <c r="F79" s="254"/>
      <c r="G79" s="254"/>
      <c r="H79" s="254"/>
      <c r="I79" s="255"/>
      <c r="J79" s="256"/>
      <c r="K79" s="257"/>
      <c r="L79" s="257"/>
      <c r="M79" s="257"/>
      <c r="N79" s="257"/>
      <c r="O79" s="257"/>
      <c r="P79" s="257"/>
      <c r="Q79" s="257"/>
      <c r="R79" s="257"/>
      <c r="S79" s="257"/>
      <c r="T79" s="258"/>
      <c r="U79" s="261"/>
      <c r="V79" s="262"/>
      <c r="W79" s="262"/>
      <c r="X79" s="263"/>
      <c r="Y79" s="73"/>
      <c r="Z79" s="88"/>
      <c r="AA79" s="88"/>
      <c r="AB79" s="86"/>
      <c r="AC79" s="82"/>
      <c r="AD79" s="89"/>
      <c r="AE79" s="217"/>
      <c r="AF79" s="89" t="str">
        <f t="shared" ref="AF79" si="9">IF(ISBLANK(C79),"",$AF$66)</f>
        <v/>
      </c>
      <c r="AG79" s="81" t="str">
        <f t="shared" ref="AG79" si="10">A79</f>
        <v/>
      </c>
      <c r="AH79" s="81" t="str">
        <f t="shared" ref="AH79" si="11">AG79</f>
        <v/>
      </c>
      <c r="AI79" s="65"/>
      <c r="AJ79" s="65"/>
      <c r="AK79" s="96"/>
      <c r="AL79" s="65"/>
      <c r="AM79" s="97"/>
    </row>
    <row r="80" spans="1:39" s="21" customFormat="1" ht="15.75" customHeight="1" x14ac:dyDescent="0.2">
      <c r="A80" s="233" t="str">
        <f>IF($C80&lt;&gt;"",COUNTA($C$68:$D80)-1,"")</f>
        <v/>
      </c>
      <c r="B80" s="61" t="str">
        <f>IF($D80&lt;&gt;"",COUNTA($D$68:$D80),"")</f>
        <v/>
      </c>
      <c r="C80" s="253"/>
      <c r="D80" s="254"/>
      <c r="E80" s="254"/>
      <c r="F80" s="254"/>
      <c r="G80" s="254"/>
      <c r="H80" s="254"/>
      <c r="I80" s="255"/>
      <c r="J80" s="256"/>
      <c r="K80" s="257"/>
      <c r="L80" s="257"/>
      <c r="M80" s="257"/>
      <c r="N80" s="257"/>
      <c r="O80" s="257"/>
      <c r="P80" s="257"/>
      <c r="Q80" s="257"/>
      <c r="R80" s="257"/>
      <c r="S80" s="257"/>
      <c r="T80" s="258"/>
      <c r="U80" s="261"/>
      <c r="V80" s="262"/>
      <c r="W80" s="262"/>
      <c r="X80" s="263"/>
      <c r="Y80" s="73"/>
      <c r="Z80" s="88"/>
      <c r="AA80" s="88"/>
      <c r="AB80" s="86"/>
      <c r="AC80" s="82"/>
      <c r="AD80" s="89"/>
      <c r="AE80" s="217"/>
      <c r="AF80" s="89" t="str">
        <f t="shared" si="2"/>
        <v/>
      </c>
      <c r="AG80" s="81" t="str">
        <f t="shared" si="0"/>
        <v/>
      </c>
      <c r="AH80" s="81" t="str">
        <f t="shared" si="1"/>
        <v/>
      </c>
      <c r="AI80" s="65"/>
      <c r="AJ80" s="65"/>
      <c r="AK80" s="96"/>
      <c r="AL80" s="65"/>
      <c r="AM80" s="97"/>
    </row>
    <row r="81" spans="1:77" s="21" customFormat="1" ht="15.75" customHeight="1" x14ac:dyDescent="0.2">
      <c r="A81" s="233" t="str">
        <f>IF($C81&lt;&gt;"",COUNTA($C$68:$D81)-1,"")</f>
        <v/>
      </c>
      <c r="B81" s="61" t="str">
        <f>IF($D81&lt;&gt;"",COUNTA($D$68:$D81),"")</f>
        <v/>
      </c>
      <c r="C81" s="253"/>
      <c r="D81" s="254"/>
      <c r="E81" s="254"/>
      <c r="F81" s="254"/>
      <c r="G81" s="254"/>
      <c r="H81" s="254"/>
      <c r="I81" s="255"/>
      <c r="J81" s="256"/>
      <c r="K81" s="257"/>
      <c r="L81" s="257"/>
      <c r="M81" s="257"/>
      <c r="N81" s="257"/>
      <c r="O81" s="257"/>
      <c r="P81" s="257"/>
      <c r="Q81" s="257"/>
      <c r="R81" s="257"/>
      <c r="S81" s="257"/>
      <c r="T81" s="258"/>
      <c r="U81" s="261"/>
      <c r="V81" s="262"/>
      <c r="W81" s="262"/>
      <c r="X81" s="263"/>
      <c r="Y81" s="73"/>
      <c r="Z81" s="88"/>
      <c r="AA81" s="88"/>
      <c r="AB81" s="86"/>
      <c r="AC81" s="82"/>
      <c r="AD81" s="89"/>
      <c r="AE81" s="217"/>
      <c r="AF81" s="89" t="str">
        <f t="shared" si="2"/>
        <v/>
      </c>
      <c r="AG81" s="81" t="str">
        <f t="shared" si="0"/>
        <v/>
      </c>
      <c r="AH81" s="81" t="str">
        <f t="shared" si="1"/>
        <v/>
      </c>
      <c r="AI81" s="65"/>
      <c r="AJ81" s="65"/>
      <c r="AK81" s="96"/>
      <c r="AL81" s="65"/>
      <c r="AM81" s="97"/>
    </row>
    <row r="82" spans="1:77" s="21" customFormat="1" ht="15.75" customHeight="1" x14ac:dyDescent="0.2">
      <c r="A82" s="233" t="str">
        <f>IF($C82&lt;&gt;"",COUNTA($C$68:$D82)-1,"")</f>
        <v/>
      </c>
      <c r="B82" s="61" t="str">
        <f>IF($D82&lt;&gt;"",COUNTA($D$68:$D82),"")</f>
        <v/>
      </c>
      <c r="C82" s="253"/>
      <c r="D82" s="254"/>
      <c r="E82" s="254"/>
      <c r="F82" s="254"/>
      <c r="G82" s="254"/>
      <c r="H82" s="254"/>
      <c r="I82" s="255"/>
      <c r="J82" s="256"/>
      <c r="K82" s="257"/>
      <c r="L82" s="257"/>
      <c r="M82" s="257"/>
      <c r="N82" s="257"/>
      <c r="O82" s="257"/>
      <c r="P82" s="257"/>
      <c r="Q82" s="257"/>
      <c r="R82" s="257"/>
      <c r="S82" s="257"/>
      <c r="T82" s="258"/>
      <c r="U82" s="261"/>
      <c r="V82" s="262"/>
      <c r="W82" s="262"/>
      <c r="X82" s="263"/>
      <c r="Y82" s="73"/>
      <c r="Z82" s="88"/>
      <c r="AA82" s="88"/>
      <c r="AB82" s="86"/>
      <c r="AC82" s="82"/>
      <c r="AD82" s="89"/>
      <c r="AE82" s="217"/>
      <c r="AF82" s="89" t="str">
        <f t="shared" ref="AF82" si="12">IF(ISBLANK(C82),"",$AF$66)</f>
        <v/>
      </c>
      <c r="AG82" s="81" t="str">
        <f t="shared" ref="AG82" si="13">A82</f>
        <v/>
      </c>
      <c r="AH82" s="81" t="str">
        <f t="shared" ref="AH82" si="14">AG82</f>
        <v/>
      </c>
      <c r="AI82" s="65"/>
      <c r="AJ82" s="65"/>
      <c r="AK82" s="96"/>
      <c r="AL82" s="65"/>
      <c r="AM82" s="97"/>
    </row>
    <row r="83" spans="1:77" s="21" customFormat="1" ht="16.149999999999999" customHeight="1" x14ac:dyDescent="0.2">
      <c r="A83" s="233" t="str">
        <f>IF($C83&lt;&gt;"",COUNTA($C$68:$D83)-1,"")</f>
        <v/>
      </c>
      <c r="B83" s="61" t="str">
        <f>IF($D83&lt;&gt;"",COUNTA($D$68:$D83),"")</f>
        <v/>
      </c>
      <c r="C83" s="253"/>
      <c r="D83" s="254"/>
      <c r="E83" s="254"/>
      <c r="F83" s="254"/>
      <c r="G83" s="254"/>
      <c r="H83" s="254"/>
      <c r="I83" s="255"/>
      <c r="J83" s="256"/>
      <c r="K83" s="257"/>
      <c r="L83" s="257"/>
      <c r="M83" s="257"/>
      <c r="N83" s="257"/>
      <c r="O83" s="257"/>
      <c r="P83" s="257"/>
      <c r="Q83" s="257"/>
      <c r="R83" s="257"/>
      <c r="S83" s="257"/>
      <c r="T83" s="258"/>
      <c r="U83" s="261"/>
      <c r="V83" s="262"/>
      <c r="W83" s="262"/>
      <c r="X83" s="263"/>
      <c r="Y83" s="73"/>
      <c r="Z83" s="88"/>
      <c r="AA83" s="88"/>
      <c r="AB83" s="86"/>
      <c r="AC83" s="82"/>
      <c r="AD83" s="89"/>
      <c r="AE83" s="217"/>
      <c r="AF83" s="89" t="str">
        <f t="shared" ref="AF83" si="15">IF(ISBLANK(C83),"",$AF$66)</f>
        <v/>
      </c>
      <c r="AG83" s="81" t="str">
        <f t="shared" ref="AG83" si="16">A83</f>
        <v/>
      </c>
      <c r="AH83" s="81" t="str">
        <f t="shared" ref="AH83" si="17">AG83</f>
        <v/>
      </c>
      <c r="AI83" s="65"/>
      <c r="AJ83" s="65"/>
      <c r="AK83" s="96"/>
      <c r="AL83" s="65"/>
      <c r="AM83" s="97">
        <f t="shared" ref="AM83" si="18">J83</f>
        <v>0</v>
      </c>
    </row>
    <row r="84" spans="1:77" s="21" customFormat="1" ht="13.5" customHeight="1" x14ac:dyDescent="0.2">
      <c r="A84" s="88">
        <f>ROW()</f>
        <v>84</v>
      </c>
      <c r="B84" s="43"/>
      <c r="C84" s="298" t="s">
        <v>199</v>
      </c>
      <c r="D84" s="298"/>
      <c r="E84" s="298"/>
      <c r="F84" s="298"/>
      <c r="G84" s="298"/>
      <c r="H84" s="298"/>
      <c r="I84" s="298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5"/>
      <c r="V84" s="45"/>
      <c r="W84" s="45"/>
      <c r="X84" s="46"/>
      <c r="Y84" s="71"/>
      <c r="Z84" s="83"/>
      <c r="AA84" s="82"/>
      <c r="AB84" s="82"/>
      <c r="AC84" s="90"/>
      <c r="AD84" s="82"/>
      <c r="AE84" s="218"/>
      <c r="AF84" s="199"/>
      <c r="AG84" s="200"/>
      <c r="AH84" s="199"/>
      <c r="AI84" s="65"/>
    </row>
    <row r="85" spans="1:77" s="21" customFormat="1" ht="26.45" customHeight="1" x14ac:dyDescent="0.2">
      <c r="A85" s="88"/>
      <c r="B85" s="268"/>
      <c r="C85" s="269"/>
      <c r="D85" s="269"/>
      <c r="E85" s="269"/>
      <c r="F85" s="269"/>
      <c r="G85" s="269"/>
      <c r="H85" s="269"/>
      <c r="I85" s="269"/>
      <c r="J85" s="269"/>
      <c r="K85" s="269"/>
      <c r="L85" s="269"/>
      <c r="M85" s="269"/>
      <c r="N85" s="269"/>
      <c r="O85" s="269"/>
      <c r="P85" s="269"/>
      <c r="Q85" s="269"/>
      <c r="R85" s="269"/>
      <c r="S85" s="269"/>
      <c r="T85" s="269"/>
      <c r="U85" s="269"/>
      <c r="V85" s="269"/>
      <c r="W85" s="269"/>
      <c r="X85" s="270"/>
      <c r="Y85" s="71"/>
      <c r="Z85" s="76"/>
      <c r="AA85" s="77"/>
      <c r="AB85" s="77"/>
      <c r="AC85" s="77"/>
      <c r="AD85" s="77"/>
      <c r="AE85" s="218"/>
      <c r="AF85" s="97"/>
      <c r="AG85" s="200"/>
      <c r="AH85" s="199"/>
      <c r="AI85" s="65"/>
    </row>
    <row r="86" spans="1:77" s="21" customFormat="1" ht="16.149999999999999" customHeight="1" x14ac:dyDescent="0.2">
      <c r="A86" s="88">
        <f>ROW()</f>
        <v>86</v>
      </c>
      <c r="B86" s="11" t="str">
        <f>IF(A1=1,'1'!A117,'1'!B117)</f>
        <v>Nr.</v>
      </c>
      <c r="C86" s="20" t="str">
        <f>IF(A1=1,'1'!A118,'1'!B118)</f>
        <v>Technische Änderungen</v>
      </c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8"/>
      <c r="U86" s="265" t="str">
        <f>IF(A1=1,'1'!A119,'1'!B119)</f>
        <v>Preis in €</v>
      </c>
      <c r="V86" s="266"/>
      <c r="W86" s="267"/>
      <c r="X86" s="11" t="s">
        <v>200</v>
      </c>
      <c r="Y86" s="74" t="s">
        <v>29</v>
      </c>
      <c r="Z86" s="91"/>
      <c r="AA86" s="77"/>
      <c r="AB86" s="77"/>
      <c r="AC86" s="77"/>
      <c r="AD86" s="77"/>
      <c r="AE86" s="218"/>
      <c r="AF86" s="97"/>
      <c r="AG86" s="200"/>
      <c r="AH86" s="199"/>
      <c r="AI86" s="65"/>
    </row>
    <row r="87" spans="1:77" s="21" customFormat="1" ht="15.75" customHeight="1" x14ac:dyDescent="0.2">
      <c r="A87" s="88">
        <v>0</v>
      </c>
      <c r="B87" s="48" t="str">
        <f>IF($C87&lt;&gt;"",COUNTA($C$86:$C87)-1,"")</f>
        <v/>
      </c>
      <c r="C87" s="291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58"/>
      <c r="U87" s="294"/>
      <c r="V87" s="294"/>
      <c r="W87" s="294"/>
      <c r="X87" s="49"/>
      <c r="Y87" s="194"/>
      <c r="Z87" s="76"/>
      <c r="AA87" s="77"/>
      <c r="AB87" s="77"/>
      <c r="AC87" s="77"/>
      <c r="AD87" s="77"/>
      <c r="AE87" s="218"/>
      <c r="AF87" s="201">
        <f>C87</f>
        <v>0</v>
      </c>
      <c r="AG87" s="200">
        <f>U87</f>
        <v>0</v>
      </c>
      <c r="AH87" s="97">
        <f t="shared" ref="AH87:AH104" si="19">Y87</f>
        <v>0</v>
      </c>
      <c r="AI87" s="224" t="str">
        <f>B87</f>
        <v/>
      </c>
      <c r="BD87" s="290"/>
      <c r="BE87" s="290"/>
      <c r="BF87" s="290"/>
      <c r="BH87"/>
      <c r="BI87"/>
      <c r="BJ87"/>
    </row>
    <row r="88" spans="1:77" s="21" customFormat="1" ht="15.75" customHeight="1" x14ac:dyDescent="0.2">
      <c r="A88" s="88"/>
      <c r="B88" s="48" t="str">
        <f>IF($C88&lt;&gt;"",COUNTA($C$86:$C88)-1,"")</f>
        <v/>
      </c>
      <c r="C88" s="291"/>
      <c r="D88" s="257"/>
      <c r="E88" s="257"/>
      <c r="F88" s="257"/>
      <c r="G88" s="257"/>
      <c r="H88" s="257"/>
      <c r="I88" s="257"/>
      <c r="J88" s="257"/>
      <c r="K88" s="257"/>
      <c r="L88" s="257"/>
      <c r="M88" s="257"/>
      <c r="N88" s="257"/>
      <c r="O88" s="257"/>
      <c r="P88" s="257"/>
      <c r="Q88" s="257"/>
      <c r="R88" s="257"/>
      <c r="S88" s="257"/>
      <c r="T88" s="258"/>
      <c r="U88" s="294"/>
      <c r="V88" s="294"/>
      <c r="W88" s="294"/>
      <c r="X88" s="49"/>
      <c r="Y88" s="194"/>
      <c r="Z88" s="76"/>
      <c r="AA88" s="77"/>
      <c r="AB88" s="77"/>
      <c r="AC88" s="77"/>
      <c r="AD88" s="77"/>
      <c r="AE88" s="218"/>
      <c r="AF88" s="201">
        <f t="shared" ref="AF88:AF104" si="20">C88</f>
        <v>0</v>
      </c>
      <c r="AG88" s="200">
        <f t="shared" ref="AG88:AG104" si="21">U88</f>
        <v>0</v>
      </c>
      <c r="AH88" s="97">
        <f t="shared" si="19"/>
        <v>0</v>
      </c>
      <c r="AI88" s="224" t="str">
        <f t="shared" ref="AI88:AI104" si="22">B88</f>
        <v/>
      </c>
      <c r="BD88" s="290"/>
      <c r="BE88" s="290"/>
      <c r="BF88" s="290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</row>
    <row r="89" spans="1:77" s="21" customFormat="1" ht="15.75" customHeight="1" x14ac:dyDescent="0.2">
      <c r="A89" s="88"/>
      <c r="B89" s="48" t="str">
        <f>IF($C89&lt;&gt;"",COUNTA($C$86:$C89)-1,"")</f>
        <v/>
      </c>
      <c r="C89" s="291"/>
      <c r="D89" s="257"/>
      <c r="E89" s="257"/>
      <c r="F89" s="257"/>
      <c r="G89" s="257"/>
      <c r="H89" s="257"/>
      <c r="I89" s="257"/>
      <c r="J89" s="257"/>
      <c r="K89" s="257"/>
      <c r="L89" s="257"/>
      <c r="M89" s="257"/>
      <c r="N89" s="257"/>
      <c r="O89" s="257"/>
      <c r="P89" s="257"/>
      <c r="Q89" s="257"/>
      <c r="R89" s="257"/>
      <c r="S89" s="257"/>
      <c r="T89" s="258"/>
      <c r="U89" s="294"/>
      <c r="V89" s="294"/>
      <c r="W89" s="294"/>
      <c r="X89" s="49"/>
      <c r="Y89" s="194"/>
      <c r="Z89" s="76"/>
      <c r="AA89" s="77"/>
      <c r="AB89" s="77"/>
      <c r="AC89" s="77"/>
      <c r="AD89" s="77"/>
      <c r="AE89" s="218"/>
      <c r="AF89" s="201">
        <f t="shared" si="20"/>
        <v>0</v>
      </c>
      <c r="AG89" s="200">
        <f t="shared" si="21"/>
        <v>0</v>
      </c>
      <c r="AH89" s="97">
        <f t="shared" si="19"/>
        <v>0</v>
      </c>
      <c r="AI89" s="224" t="str">
        <f t="shared" si="22"/>
        <v/>
      </c>
      <c r="BD89" s="290"/>
      <c r="BE89" s="290"/>
      <c r="BF89" s="290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</row>
    <row r="90" spans="1:77" s="21" customFormat="1" ht="15.75" customHeight="1" x14ac:dyDescent="0.2">
      <c r="A90" s="88"/>
      <c r="B90" s="48" t="str">
        <f>IF($C90&lt;&gt;"",COUNTA($C$86:$C90)-1,"")</f>
        <v/>
      </c>
      <c r="C90" s="291"/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257"/>
      <c r="R90" s="257"/>
      <c r="S90" s="257"/>
      <c r="T90" s="258"/>
      <c r="U90" s="294"/>
      <c r="V90" s="294"/>
      <c r="W90" s="294"/>
      <c r="X90" s="49"/>
      <c r="Y90" s="194"/>
      <c r="Z90" s="76"/>
      <c r="AA90" s="77"/>
      <c r="AB90" s="77"/>
      <c r="AC90" s="77"/>
      <c r="AD90" s="77"/>
      <c r="AE90" s="218"/>
      <c r="AF90" s="201">
        <f t="shared" si="20"/>
        <v>0</v>
      </c>
      <c r="AG90" s="200">
        <f t="shared" si="21"/>
        <v>0</v>
      </c>
      <c r="AH90" s="97">
        <f t="shared" si="19"/>
        <v>0</v>
      </c>
      <c r="AI90" s="224" t="str">
        <f t="shared" si="22"/>
        <v/>
      </c>
      <c r="BD90" s="290"/>
      <c r="BE90" s="290"/>
      <c r="BF90" s="2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</row>
    <row r="91" spans="1:77" s="21" customFormat="1" ht="15.75" customHeight="1" x14ac:dyDescent="0.2">
      <c r="A91" s="88"/>
      <c r="B91" s="48" t="str">
        <f>IF($C91&lt;&gt;"",COUNTA($C$86:$C91)-1,"")</f>
        <v/>
      </c>
      <c r="C91" s="291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8"/>
      <c r="U91" s="294"/>
      <c r="V91" s="294"/>
      <c r="W91" s="294"/>
      <c r="X91" s="49"/>
      <c r="Y91" s="194"/>
      <c r="Z91" s="76"/>
      <c r="AA91" s="77"/>
      <c r="AB91" s="77"/>
      <c r="AC91" s="77"/>
      <c r="AD91" s="77"/>
      <c r="AE91" s="218"/>
      <c r="AF91" s="201">
        <f t="shared" si="20"/>
        <v>0</v>
      </c>
      <c r="AG91" s="200">
        <f t="shared" si="21"/>
        <v>0</v>
      </c>
      <c r="AH91" s="97">
        <f t="shared" si="19"/>
        <v>0</v>
      </c>
      <c r="AI91" s="224" t="str">
        <f t="shared" si="22"/>
        <v/>
      </c>
      <c r="BD91" s="290"/>
      <c r="BE91" s="290"/>
      <c r="BF91" s="290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</row>
    <row r="92" spans="1:77" s="21" customFormat="1" ht="15.75" customHeight="1" x14ac:dyDescent="0.2">
      <c r="A92" s="88"/>
      <c r="B92" s="48" t="str">
        <f>IF($C92&lt;&gt;"",COUNTA($C$86:$C92)-1,"")</f>
        <v/>
      </c>
      <c r="C92" s="291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8"/>
      <c r="U92" s="294"/>
      <c r="V92" s="294"/>
      <c r="W92" s="294"/>
      <c r="X92" s="49"/>
      <c r="Y92" s="194"/>
      <c r="Z92" s="76"/>
      <c r="AA92" s="77"/>
      <c r="AB92" s="77"/>
      <c r="AC92" s="77"/>
      <c r="AD92" s="77"/>
      <c r="AE92" s="218"/>
      <c r="AF92" s="201">
        <f t="shared" si="20"/>
        <v>0</v>
      </c>
      <c r="AG92" s="200">
        <f t="shared" si="21"/>
        <v>0</v>
      </c>
      <c r="AH92" s="97">
        <f t="shared" si="19"/>
        <v>0</v>
      </c>
      <c r="AI92" s="224" t="str">
        <f t="shared" si="22"/>
        <v/>
      </c>
      <c r="BD92" s="290"/>
      <c r="BE92" s="290"/>
      <c r="BF92" s="290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</row>
    <row r="93" spans="1:77" s="21" customFormat="1" ht="15.75" customHeight="1" x14ac:dyDescent="0.2">
      <c r="A93" s="88"/>
      <c r="B93" s="48" t="str">
        <f>IF($C93&lt;&gt;"",COUNTA($C$86:$C93)-1,"")</f>
        <v/>
      </c>
      <c r="C93" s="291"/>
      <c r="D93" s="292"/>
      <c r="E93" s="292"/>
      <c r="F93" s="292"/>
      <c r="G93" s="292"/>
      <c r="H93" s="292"/>
      <c r="I93" s="292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3"/>
      <c r="U93" s="294"/>
      <c r="V93" s="294"/>
      <c r="W93" s="294"/>
      <c r="X93" s="49"/>
      <c r="Y93" s="194"/>
      <c r="Z93" s="76"/>
      <c r="AA93" s="77"/>
      <c r="AB93" s="77"/>
      <c r="AC93" s="77"/>
      <c r="AD93" s="77"/>
      <c r="AE93" s="218"/>
      <c r="AF93" s="201">
        <f t="shared" si="20"/>
        <v>0</v>
      </c>
      <c r="AG93" s="200">
        <f t="shared" si="21"/>
        <v>0</v>
      </c>
      <c r="AH93" s="97">
        <f t="shared" si="19"/>
        <v>0</v>
      </c>
      <c r="AI93" s="224" t="str">
        <f t="shared" si="22"/>
        <v/>
      </c>
      <c r="BD93" s="290"/>
      <c r="BE93" s="290"/>
      <c r="BF93" s="290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</row>
    <row r="94" spans="1:77" s="21" customFormat="1" ht="15.75" customHeight="1" x14ac:dyDescent="0.2">
      <c r="A94" s="88"/>
      <c r="B94" s="48" t="str">
        <f>IF($C94&lt;&gt;"",COUNTA($C$86:$C94)-1,"")</f>
        <v/>
      </c>
      <c r="C94" s="291"/>
      <c r="D94" s="292"/>
      <c r="E94" s="292"/>
      <c r="F94" s="292"/>
      <c r="G94" s="292"/>
      <c r="H94" s="292"/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3"/>
      <c r="U94" s="294"/>
      <c r="V94" s="294"/>
      <c r="W94" s="294"/>
      <c r="X94" s="49"/>
      <c r="Y94" s="194"/>
      <c r="Z94" s="76"/>
      <c r="AA94" s="77"/>
      <c r="AB94" s="77"/>
      <c r="AC94" s="77"/>
      <c r="AD94" s="77"/>
      <c r="AE94" s="218"/>
      <c r="AF94" s="201">
        <f t="shared" si="20"/>
        <v>0</v>
      </c>
      <c r="AG94" s="200">
        <f t="shared" si="21"/>
        <v>0</v>
      </c>
      <c r="AH94" s="97">
        <f t="shared" si="19"/>
        <v>0</v>
      </c>
      <c r="AI94" s="224" t="str">
        <f t="shared" si="22"/>
        <v/>
      </c>
      <c r="BD94" s="290"/>
      <c r="BE94" s="290"/>
      <c r="BF94" s="290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</row>
    <row r="95" spans="1:77" s="21" customFormat="1" ht="15.75" customHeight="1" x14ac:dyDescent="0.2">
      <c r="A95" s="88"/>
      <c r="B95" s="48" t="str">
        <f>IF($C95&lt;&gt;"",COUNTA($C$86:$C95)-1,"")</f>
        <v/>
      </c>
      <c r="C95" s="291"/>
      <c r="D95" s="25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8"/>
      <c r="U95" s="294"/>
      <c r="V95" s="294"/>
      <c r="W95" s="294"/>
      <c r="X95" s="49"/>
      <c r="Y95" s="194"/>
      <c r="Z95" s="76"/>
      <c r="AA95" s="77"/>
      <c r="AB95" s="77"/>
      <c r="AC95" s="77"/>
      <c r="AD95" s="77"/>
      <c r="AE95" s="218"/>
      <c r="AF95" s="201">
        <f t="shared" si="20"/>
        <v>0</v>
      </c>
      <c r="AG95" s="200">
        <f t="shared" si="21"/>
        <v>0</v>
      </c>
      <c r="AH95" s="97">
        <f t="shared" si="19"/>
        <v>0</v>
      </c>
      <c r="AI95" s="224" t="str">
        <f t="shared" si="22"/>
        <v/>
      </c>
      <c r="BD95" s="290"/>
      <c r="BE95" s="290"/>
      <c r="BF95" s="290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</row>
    <row r="96" spans="1:77" s="21" customFormat="1" ht="15.75" customHeight="1" x14ac:dyDescent="0.2">
      <c r="A96" s="88"/>
      <c r="B96" s="48" t="str">
        <f>IF($C96&lt;&gt;"",COUNTA($C$86:$C96)-1,"")</f>
        <v/>
      </c>
      <c r="C96" s="291"/>
      <c r="D96" s="292"/>
      <c r="E96" s="292"/>
      <c r="F96" s="292"/>
      <c r="G96" s="292"/>
      <c r="H96" s="292"/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3"/>
      <c r="U96" s="294"/>
      <c r="V96" s="294"/>
      <c r="W96" s="294"/>
      <c r="X96" s="49"/>
      <c r="Y96" s="194"/>
      <c r="Z96" s="76"/>
      <c r="AA96" s="77"/>
      <c r="AB96" s="77"/>
      <c r="AC96" s="77"/>
      <c r="AD96" s="77"/>
      <c r="AE96" s="218"/>
      <c r="AF96" s="201">
        <f t="shared" si="20"/>
        <v>0</v>
      </c>
      <c r="AG96" s="200">
        <f t="shared" si="21"/>
        <v>0</v>
      </c>
      <c r="AH96" s="97">
        <f t="shared" si="19"/>
        <v>0</v>
      </c>
      <c r="AI96" s="224" t="str">
        <f t="shared" si="22"/>
        <v/>
      </c>
      <c r="BD96" s="290"/>
      <c r="BE96" s="290"/>
      <c r="BF96" s="290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</row>
    <row r="97" spans="1:80" s="21" customFormat="1" ht="15.75" customHeight="1" x14ac:dyDescent="0.2">
      <c r="A97" s="88"/>
      <c r="B97" s="48" t="str">
        <f>IF($C97&lt;&gt;"",COUNTA($C$86:$C97)-1,"")</f>
        <v/>
      </c>
      <c r="C97" s="291"/>
      <c r="D97" s="292"/>
      <c r="E97" s="292"/>
      <c r="F97" s="292"/>
      <c r="G97" s="292"/>
      <c r="H97" s="292"/>
      <c r="I97" s="292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3"/>
      <c r="U97" s="294"/>
      <c r="V97" s="294"/>
      <c r="W97" s="294"/>
      <c r="X97" s="49"/>
      <c r="Y97" s="194"/>
      <c r="Z97" s="76"/>
      <c r="AA97" s="77"/>
      <c r="AB97" s="77"/>
      <c r="AC97" s="77"/>
      <c r="AD97" s="77"/>
      <c r="AE97" s="218" t="str">
        <f t="shared" ref="AE97:AE104" si="23">B97</f>
        <v/>
      </c>
      <c r="AF97" s="201">
        <f t="shared" si="20"/>
        <v>0</v>
      </c>
      <c r="AG97" s="200">
        <f t="shared" si="21"/>
        <v>0</v>
      </c>
      <c r="AH97" s="97">
        <f t="shared" si="19"/>
        <v>0</v>
      </c>
      <c r="AI97" s="224" t="str">
        <f t="shared" si="22"/>
        <v/>
      </c>
      <c r="BD97" s="290"/>
      <c r="BE97" s="290"/>
      <c r="BF97" s="290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</row>
    <row r="98" spans="1:80" s="21" customFormat="1" ht="15.75" customHeight="1" x14ac:dyDescent="0.2">
      <c r="A98" s="88"/>
      <c r="B98" s="48" t="str">
        <f>IF($C98&lt;&gt;"",COUNTA($C$86:$C98)-1,"")</f>
        <v/>
      </c>
      <c r="C98" s="291"/>
      <c r="D98" s="292"/>
      <c r="E98" s="292"/>
      <c r="F98" s="292"/>
      <c r="G98" s="292"/>
      <c r="H98" s="292"/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3"/>
      <c r="U98" s="294"/>
      <c r="V98" s="294"/>
      <c r="W98" s="294"/>
      <c r="X98" s="49"/>
      <c r="Y98" s="194"/>
      <c r="Z98" s="76"/>
      <c r="AA98" s="77"/>
      <c r="AB98" s="77"/>
      <c r="AC98" s="77"/>
      <c r="AD98" s="77"/>
      <c r="AE98" s="218" t="str">
        <f t="shared" si="23"/>
        <v/>
      </c>
      <c r="AF98" s="201">
        <f t="shared" si="20"/>
        <v>0</v>
      </c>
      <c r="AG98" s="200">
        <f t="shared" si="21"/>
        <v>0</v>
      </c>
      <c r="AH98" s="97">
        <f t="shared" si="19"/>
        <v>0</v>
      </c>
      <c r="AI98" s="224" t="str">
        <f t="shared" si="22"/>
        <v/>
      </c>
      <c r="BD98" s="290"/>
      <c r="BE98" s="290"/>
      <c r="BF98" s="290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</row>
    <row r="99" spans="1:80" s="21" customFormat="1" ht="15.75" customHeight="1" x14ac:dyDescent="0.2">
      <c r="A99" s="88"/>
      <c r="B99" s="48" t="str">
        <f>IF($C99&lt;&gt;"",COUNTA($C$86:$C99)-1,"")</f>
        <v/>
      </c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3"/>
      <c r="U99" s="294"/>
      <c r="V99" s="294"/>
      <c r="W99" s="294"/>
      <c r="X99" s="49"/>
      <c r="Y99" s="194"/>
      <c r="Z99" s="76"/>
      <c r="AA99" s="77"/>
      <c r="AB99" s="77"/>
      <c r="AC99" s="77"/>
      <c r="AD99" s="77"/>
      <c r="AE99" s="218" t="str">
        <f t="shared" si="23"/>
        <v/>
      </c>
      <c r="AF99" s="201">
        <f t="shared" si="20"/>
        <v>0</v>
      </c>
      <c r="AG99" s="200">
        <f t="shared" si="21"/>
        <v>0</v>
      </c>
      <c r="AH99" s="97">
        <f t="shared" si="19"/>
        <v>0</v>
      </c>
      <c r="AI99" s="224" t="str">
        <f t="shared" si="22"/>
        <v/>
      </c>
      <c r="BD99" s="290"/>
      <c r="BE99" s="290"/>
      <c r="BF99" s="290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</row>
    <row r="100" spans="1:80" s="21" customFormat="1" ht="16.149999999999999" customHeight="1" x14ac:dyDescent="0.2">
      <c r="A100" s="88"/>
      <c r="B100" s="48" t="str">
        <f>IF($C100&lt;&gt;"",COUNTA($C$86:$C100)-1,"")</f>
        <v/>
      </c>
      <c r="C100" s="291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8"/>
      <c r="U100" s="294"/>
      <c r="V100" s="294"/>
      <c r="W100" s="294"/>
      <c r="X100" s="49"/>
      <c r="Y100" s="194"/>
      <c r="Z100" s="76"/>
      <c r="AA100" s="77"/>
      <c r="AB100" s="77"/>
      <c r="AC100" s="77"/>
      <c r="AD100" s="77"/>
      <c r="AE100" s="218" t="str">
        <f t="shared" si="23"/>
        <v/>
      </c>
      <c r="AF100" s="201">
        <f t="shared" si="20"/>
        <v>0</v>
      </c>
      <c r="AG100" s="200">
        <f t="shared" si="21"/>
        <v>0</v>
      </c>
      <c r="AH100" s="97">
        <f t="shared" si="19"/>
        <v>0</v>
      </c>
      <c r="AI100" s="224" t="str">
        <f t="shared" si="22"/>
        <v/>
      </c>
      <c r="BD100" s="290"/>
      <c r="BE100" s="290"/>
      <c r="BF100" s="29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</row>
    <row r="101" spans="1:80" s="21" customFormat="1" ht="16.149999999999999" customHeight="1" x14ac:dyDescent="0.2">
      <c r="A101" s="88"/>
      <c r="B101" s="48" t="str">
        <f>IF($C101&lt;&gt;"",COUNTA($C$86:$C101)-1,"")</f>
        <v/>
      </c>
      <c r="C101" s="291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8"/>
      <c r="U101" s="294"/>
      <c r="V101" s="294"/>
      <c r="W101" s="294"/>
      <c r="X101" s="49"/>
      <c r="Y101" s="194"/>
      <c r="Z101" s="76"/>
      <c r="AA101" s="77"/>
      <c r="AB101" s="77"/>
      <c r="AC101" s="77"/>
      <c r="AD101" s="77"/>
      <c r="AE101" s="218" t="str">
        <f t="shared" si="23"/>
        <v/>
      </c>
      <c r="AF101" s="201">
        <f t="shared" si="20"/>
        <v>0</v>
      </c>
      <c r="AG101" s="200">
        <f t="shared" si="21"/>
        <v>0</v>
      </c>
      <c r="AH101" s="97">
        <f t="shared" si="19"/>
        <v>0</v>
      </c>
      <c r="AI101" s="224" t="str">
        <f t="shared" si="22"/>
        <v/>
      </c>
      <c r="BD101" s="290"/>
      <c r="BE101" s="290"/>
      <c r="BF101" s="290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</row>
    <row r="102" spans="1:80" s="21" customFormat="1" ht="15.75" customHeight="1" x14ac:dyDescent="0.2">
      <c r="A102" s="88"/>
      <c r="B102" s="48" t="str">
        <f>IF($C102&lt;&gt;"",COUNTA($C$86:$C102)-1,"")</f>
        <v/>
      </c>
      <c r="C102" s="291"/>
      <c r="D102" s="292"/>
      <c r="E102" s="292"/>
      <c r="F102" s="292"/>
      <c r="G102" s="292"/>
      <c r="H102" s="292"/>
      <c r="I102" s="292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3"/>
      <c r="U102" s="294"/>
      <c r="V102" s="294"/>
      <c r="W102" s="294"/>
      <c r="X102" s="49"/>
      <c r="Y102" s="194"/>
      <c r="Z102" s="76"/>
      <c r="AA102" s="77"/>
      <c r="AB102" s="77"/>
      <c r="AC102" s="77"/>
      <c r="AD102" s="77"/>
      <c r="AE102" s="218" t="str">
        <f t="shared" si="23"/>
        <v/>
      </c>
      <c r="AF102" s="201">
        <f t="shared" si="20"/>
        <v>0</v>
      </c>
      <c r="AG102" s="200">
        <f t="shared" si="21"/>
        <v>0</v>
      </c>
      <c r="AH102" s="97">
        <f t="shared" si="19"/>
        <v>0</v>
      </c>
      <c r="AI102" s="224" t="str">
        <f t="shared" si="22"/>
        <v/>
      </c>
      <c r="BD102" s="290"/>
      <c r="BE102" s="290"/>
      <c r="BF102" s="290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</row>
    <row r="103" spans="1:80" s="21" customFormat="1" ht="16.149999999999999" customHeight="1" x14ac:dyDescent="0.2">
      <c r="A103" s="88"/>
      <c r="B103" s="48" t="str">
        <f>IF($C103&lt;&gt;"",COUNTA($C$86:$C103)-1,"")</f>
        <v/>
      </c>
      <c r="C103" s="291"/>
      <c r="D103" s="257"/>
      <c r="E103" s="257"/>
      <c r="F103" s="257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257"/>
      <c r="S103" s="257"/>
      <c r="T103" s="258"/>
      <c r="U103" s="294"/>
      <c r="V103" s="294"/>
      <c r="W103" s="294"/>
      <c r="X103" s="49"/>
      <c r="Y103" s="194"/>
      <c r="Z103" s="76"/>
      <c r="AA103" s="77"/>
      <c r="AB103" s="77"/>
      <c r="AC103" s="77"/>
      <c r="AD103" s="77"/>
      <c r="AE103" s="218" t="str">
        <f t="shared" si="23"/>
        <v/>
      </c>
      <c r="AF103" s="201">
        <f t="shared" si="20"/>
        <v>0</v>
      </c>
      <c r="AG103" s="200">
        <f t="shared" si="21"/>
        <v>0</v>
      </c>
      <c r="AH103" s="97">
        <f t="shared" si="19"/>
        <v>0</v>
      </c>
      <c r="AI103" s="224" t="str">
        <f t="shared" si="22"/>
        <v/>
      </c>
      <c r="BD103" s="290"/>
      <c r="BE103" s="290"/>
      <c r="BF103" s="290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</row>
    <row r="104" spans="1:80" s="21" customFormat="1" ht="15.75" customHeight="1" x14ac:dyDescent="0.2">
      <c r="A104" s="88"/>
      <c r="B104" s="48" t="str">
        <f>IF($C104&lt;&gt;"",COUNTA($C$86:$C104)-1,"")</f>
        <v/>
      </c>
      <c r="C104" s="291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8"/>
      <c r="U104" s="294"/>
      <c r="V104" s="294"/>
      <c r="W104" s="294"/>
      <c r="X104" s="49"/>
      <c r="Y104" s="194"/>
      <c r="Z104" s="76"/>
      <c r="AA104" s="77"/>
      <c r="AB104" s="77"/>
      <c r="AC104" s="77"/>
      <c r="AD104" s="77"/>
      <c r="AE104" s="218" t="str">
        <f t="shared" si="23"/>
        <v/>
      </c>
      <c r="AF104" s="201">
        <f t="shared" si="20"/>
        <v>0</v>
      </c>
      <c r="AG104" s="200">
        <f t="shared" si="21"/>
        <v>0</v>
      </c>
      <c r="AH104" s="97">
        <f t="shared" si="19"/>
        <v>0</v>
      </c>
      <c r="AI104" s="224" t="str">
        <f t="shared" si="22"/>
        <v/>
      </c>
      <c r="BD104" s="290"/>
      <c r="BE104" s="290"/>
      <c r="BF104" s="290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</row>
    <row r="105" spans="1:80" ht="21.95" customHeight="1" thickBot="1" x14ac:dyDescent="0.3">
      <c r="A105" s="88">
        <f>ROW()</f>
        <v>105</v>
      </c>
      <c r="B105" s="62"/>
      <c r="C105" s="357" t="s">
        <v>249</v>
      </c>
      <c r="D105" s="357"/>
      <c r="E105" s="357"/>
      <c r="F105" s="13"/>
      <c r="G105" s="13"/>
      <c r="H105" s="12"/>
      <c r="I105" s="12"/>
      <c r="J105" s="12"/>
      <c r="K105" s="12"/>
      <c r="L105" s="12"/>
      <c r="M105" s="12"/>
      <c r="N105" s="12"/>
      <c r="O105" s="12"/>
      <c r="P105" s="50"/>
      <c r="Q105" s="355" t="str">
        <f>IF(A1=1,'1'!A120,'1'!B120)</f>
        <v>Netto Gesamt :</v>
      </c>
      <c r="R105" s="355"/>
      <c r="S105" s="355"/>
      <c r="T105" s="355"/>
      <c r="U105" s="361">
        <f>SUM(U87:W104)</f>
        <v>0</v>
      </c>
      <c r="V105" s="361"/>
      <c r="W105" s="361"/>
      <c r="X105" s="12"/>
      <c r="Y105" s="70"/>
      <c r="Z105" s="76"/>
      <c r="AA105" s="76"/>
      <c r="AB105" s="76"/>
      <c r="AC105" s="92"/>
      <c r="AD105" s="92"/>
      <c r="AE105" s="218"/>
      <c r="AF105" s="202"/>
      <c r="AG105" s="200"/>
      <c r="AH105" s="203"/>
      <c r="AI105" s="224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D105" s="297"/>
      <c r="BE105" s="297"/>
      <c r="BF105" s="297"/>
    </row>
    <row r="106" spans="1:80" ht="13.15" customHeight="1" thickTop="1" x14ac:dyDescent="0.2">
      <c r="B106" s="52">
        <v>0</v>
      </c>
      <c r="D106" s="13"/>
      <c r="E106" s="13"/>
      <c r="F106" s="13"/>
      <c r="G106" s="13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70"/>
      <c r="AB106" s="94"/>
      <c r="AC106" s="93"/>
      <c r="AD106" s="93"/>
      <c r="AE106" s="218"/>
      <c r="AF106" s="202"/>
      <c r="AG106" s="200"/>
      <c r="AH106" s="203"/>
      <c r="AI106" s="224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D106" s="297"/>
      <c r="BE106" s="297"/>
      <c r="BF106" s="297"/>
    </row>
    <row r="107" spans="1:80" ht="24" customHeight="1" x14ac:dyDescent="0.2">
      <c r="B107" s="360" t="str">
        <f>IF(A1=1,"Alle genannten Preise sind Nettopreise und werden zuzüglich der gesetzlichen Mehrwersteuer berechnet.","")</f>
        <v>Alle genannten Preise sind Nettopreise und werden zuzüglich der gesetzlichen Mehrwersteuer berechnet.</v>
      </c>
      <c r="C107" s="360"/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60"/>
      <c r="Q107" s="360"/>
      <c r="R107" s="360"/>
      <c r="S107" s="360"/>
      <c r="T107" s="360"/>
      <c r="U107" s="360"/>
      <c r="V107" s="360"/>
      <c r="W107" s="360"/>
      <c r="X107" s="360"/>
      <c r="Y107" s="70"/>
      <c r="AE107" s="218"/>
      <c r="AF107" s="204"/>
      <c r="AG107" s="200"/>
      <c r="AH107" s="205"/>
      <c r="AI107" s="224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D107" s="295"/>
      <c r="BE107" s="295"/>
      <c r="BF107" s="295"/>
    </row>
    <row r="108" spans="1:80" ht="99.6" customHeight="1" x14ac:dyDescent="0.2">
      <c r="B108" s="296"/>
      <c r="C108" s="296"/>
      <c r="D108" s="296"/>
      <c r="E108" s="296"/>
      <c r="F108" s="296"/>
      <c r="G108" s="296"/>
      <c r="H108" s="296"/>
      <c r="I108" s="296"/>
      <c r="J108" s="296"/>
      <c r="K108" s="296"/>
      <c r="L108" s="296"/>
      <c r="M108" s="296"/>
      <c r="N108" s="296"/>
      <c r="O108" s="296"/>
      <c r="P108" s="296"/>
      <c r="Q108" s="296"/>
      <c r="R108" s="296"/>
      <c r="S108" s="296"/>
      <c r="T108" s="296"/>
      <c r="U108" s="296"/>
      <c r="V108" s="296"/>
      <c r="W108" s="296"/>
      <c r="X108" s="296"/>
      <c r="Y108" s="70"/>
      <c r="AF108" s="204"/>
      <c r="AG108" s="200"/>
      <c r="AH108" s="205"/>
      <c r="AI108" s="65"/>
      <c r="BD108" s="295"/>
      <c r="BE108" s="295"/>
      <c r="BF108" s="295"/>
    </row>
    <row r="109" spans="1:80" ht="16.149999999999999" customHeight="1" x14ac:dyDescent="0.2">
      <c r="B109" s="12"/>
      <c r="D109" s="12"/>
      <c r="E109" s="13"/>
      <c r="F109" s="12"/>
      <c r="G109" s="13"/>
      <c r="H109" s="12"/>
      <c r="I109" s="13"/>
      <c r="J109" s="12"/>
      <c r="K109" s="13"/>
      <c r="L109" s="12"/>
      <c r="M109" s="13"/>
      <c r="N109" s="12"/>
      <c r="O109" s="13"/>
      <c r="P109" s="12"/>
      <c r="Q109" s="13"/>
      <c r="R109" s="12"/>
      <c r="S109" s="13"/>
      <c r="T109" s="12"/>
      <c r="U109" s="13"/>
      <c r="V109" s="12"/>
      <c r="W109" s="12"/>
      <c r="X109" s="12"/>
      <c r="Y109" s="70"/>
      <c r="AF109" s="204"/>
      <c r="AG109" s="200"/>
      <c r="AH109" s="205"/>
      <c r="AI109" s="65"/>
    </row>
    <row r="110" spans="1:80" ht="16.899999999999999" customHeight="1" thickBot="1" x14ac:dyDescent="0.25">
      <c r="B110" s="69"/>
      <c r="C110" s="358"/>
      <c r="D110" s="358"/>
      <c r="E110" s="358"/>
      <c r="F110" s="358"/>
      <c r="G110" s="358"/>
      <c r="H110" s="358"/>
      <c r="I110" s="358"/>
      <c r="J110" s="358"/>
      <c r="K110" s="358"/>
      <c r="L110" s="58"/>
      <c r="M110" s="14"/>
      <c r="N110" s="353"/>
      <c r="O110" s="353"/>
      <c r="P110" s="353"/>
      <c r="Q110" s="353"/>
      <c r="R110" s="353"/>
      <c r="S110" s="353"/>
      <c r="T110" s="353"/>
      <c r="U110" s="353"/>
      <c r="V110" s="353"/>
      <c r="W110" s="353"/>
      <c r="X110" s="14"/>
      <c r="Y110" s="70"/>
      <c r="AF110" s="204"/>
      <c r="AG110" s="200"/>
      <c r="AH110" s="205"/>
      <c r="AI110" s="65"/>
    </row>
    <row r="111" spans="1:80" ht="13.15" customHeight="1" x14ac:dyDescent="0.2">
      <c r="B111" s="14"/>
      <c r="C111" s="356" t="str">
        <f>IF(A1=1,'1'!A121,'1'!B121)</f>
        <v>Datum:</v>
      </c>
      <c r="D111" s="356"/>
      <c r="E111" s="356"/>
      <c r="F111" s="356"/>
      <c r="G111" s="356"/>
      <c r="H111" s="356"/>
      <c r="I111" s="356"/>
      <c r="J111" s="356"/>
      <c r="K111" s="356"/>
      <c r="L111" s="356"/>
      <c r="M111" s="356"/>
      <c r="N111" s="354" t="str">
        <f>IF(A1=1,'1'!A122,'1'!B122)</f>
        <v>Unterschrift MÜLLER Umwelttechnik</v>
      </c>
      <c r="O111" s="354"/>
      <c r="P111" s="354"/>
      <c r="Q111" s="354"/>
      <c r="R111" s="354"/>
      <c r="S111" s="354"/>
      <c r="T111" s="354"/>
      <c r="U111" s="354"/>
      <c r="V111" s="354"/>
      <c r="W111" s="354"/>
      <c r="X111" s="14"/>
      <c r="Y111" s="70"/>
      <c r="AA111" s="10"/>
      <c r="AB111" s="10"/>
      <c r="AC111" s="10"/>
      <c r="AD111" s="10"/>
      <c r="AE111" s="223"/>
      <c r="AF111" s="10"/>
      <c r="AG111" s="10"/>
      <c r="AH111" s="10"/>
      <c r="CA111" s="176" t="s">
        <v>279</v>
      </c>
      <c r="CB111" s="175" t="str">
        <f>AO2</f>
        <v>U:\2021\12103800_CM F 110 EWA Eco FL_Berndt, Kesselsdorf\Fotos Rohbauabnahme</v>
      </c>
    </row>
    <row r="112" spans="1:80" ht="16.149999999999999" customHeight="1" x14ac:dyDescent="0.2">
      <c r="B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70"/>
      <c r="AA112" s="10"/>
      <c r="AB112" s="10"/>
      <c r="AC112" s="10"/>
      <c r="AD112" s="10"/>
      <c r="AE112" s="223"/>
      <c r="AF112" s="10"/>
      <c r="AG112" s="10"/>
      <c r="AH112" s="10"/>
      <c r="CA112" s="176" t="s">
        <v>280</v>
      </c>
      <c r="CB112" s="175" t="s">
        <v>276</v>
      </c>
    </row>
    <row r="113" spans="2:80" ht="16.149999999999999" customHeight="1" x14ac:dyDescent="0.2">
      <c r="B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70"/>
      <c r="AA113" s="10"/>
      <c r="AB113" s="10"/>
      <c r="AC113" s="10"/>
      <c r="AD113" s="10"/>
      <c r="AE113" s="223"/>
      <c r="AF113" s="10"/>
      <c r="AG113" s="10"/>
      <c r="AH113" s="10"/>
      <c r="CA113" s="21" t="e">
        <f>INDEX(DateiListe_RBA,ROW()-121)</f>
        <v>#VALUE!</v>
      </c>
      <c r="CB113" s="21"/>
    </row>
    <row r="114" spans="2:80" ht="16.149999999999999" customHeight="1" x14ac:dyDescent="0.2">
      <c r="Y114" s="70"/>
      <c r="AA114" s="10"/>
      <c r="AB114" s="10"/>
      <c r="AC114" s="10"/>
      <c r="AD114" s="10"/>
      <c r="AE114" s="223"/>
      <c r="AF114" s="10"/>
      <c r="AG114" s="10"/>
      <c r="AH114" s="10"/>
      <c r="CA114" s="21" t="e">
        <f>INDEX(DateiListe_RBA,ROW()-121)</f>
        <v>#VALUE!</v>
      </c>
      <c r="CB114" s="21"/>
    </row>
    <row r="115" spans="2:80" ht="16.899999999999999" customHeight="1" thickBot="1" x14ac:dyDescent="0.25">
      <c r="B115" s="53"/>
      <c r="C115" s="358"/>
      <c r="D115" s="358"/>
      <c r="E115" s="358"/>
      <c r="F115" s="358"/>
      <c r="G115" s="358"/>
      <c r="H115" s="358"/>
      <c r="I115" s="358"/>
      <c r="J115" s="358"/>
      <c r="K115" s="358"/>
      <c r="L115" s="59"/>
      <c r="N115" s="359"/>
      <c r="O115" s="359"/>
      <c r="P115" s="359"/>
      <c r="Q115" s="359"/>
      <c r="R115" s="359"/>
      <c r="S115" s="359"/>
      <c r="T115" s="359"/>
      <c r="U115" s="359"/>
      <c r="V115" s="359"/>
      <c r="W115" s="359"/>
      <c r="Y115" s="70"/>
      <c r="AA115" s="10"/>
      <c r="AB115" s="10"/>
      <c r="AC115" s="10"/>
      <c r="AD115" s="10"/>
      <c r="AE115" s="223"/>
      <c r="AF115" s="10"/>
      <c r="AG115" s="10"/>
      <c r="AH115" s="10"/>
      <c r="CA115" s="21" t="e">
        <f>INDEX(DateiListe_RBA,ROW()-121)</f>
        <v>#VALUE!</v>
      </c>
      <c r="CB115" s="21"/>
    </row>
    <row r="116" spans="2:80" ht="13.15" customHeight="1" x14ac:dyDescent="0.2">
      <c r="C116" s="356" t="str">
        <f>IF(A1=1,'1'!A123,'1'!B123)</f>
        <v>Datum:</v>
      </c>
      <c r="D116" s="356"/>
      <c r="E116" s="356"/>
      <c r="F116" s="356"/>
      <c r="G116" s="356"/>
      <c r="H116" s="356"/>
      <c r="I116" s="356"/>
      <c r="J116" s="356"/>
      <c r="K116" s="356"/>
      <c r="L116" s="356"/>
      <c r="M116" s="356"/>
      <c r="N116" s="352" t="str">
        <f>IF(A1=1,'1'!A124,'1'!B124)</f>
        <v>Unterschrift Kunde zur Bestätigung und Freigabe</v>
      </c>
      <c r="O116" s="352"/>
      <c r="P116" s="352"/>
      <c r="Q116" s="352"/>
      <c r="R116" s="352"/>
      <c r="S116" s="352"/>
      <c r="T116" s="352"/>
      <c r="U116" s="352"/>
      <c r="V116" s="352"/>
      <c r="W116" s="352"/>
      <c r="Y116" s="70"/>
      <c r="AA116" s="10"/>
      <c r="AB116" s="10"/>
      <c r="AC116" s="10"/>
      <c r="AD116" s="10"/>
      <c r="AE116" s="223"/>
      <c r="AF116" s="10"/>
      <c r="AG116" s="10"/>
      <c r="AH116" s="10"/>
      <c r="CA116" s="21" t="e">
        <f>INDEX(DateiListe_RBA,ROW()-121)</f>
        <v>#VALUE!</v>
      </c>
      <c r="CB116" s="21"/>
    </row>
    <row r="117" spans="2:80" ht="16.149999999999999" customHeight="1" x14ac:dyDescent="0.2">
      <c r="Y117" s="70"/>
      <c r="AA117" s="10"/>
      <c r="AB117" s="10"/>
      <c r="AC117" s="10"/>
      <c r="AD117" s="10"/>
      <c r="AE117" s="223"/>
      <c r="AF117" s="10"/>
      <c r="AG117" s="10"/>
      <c r="AH117" s="10"/>
      <c r="CA117" s="21" t="e">
        <f>INDEX(DateiListe_RBA,ROW()-121)</f>
        <v>#VALUE!</v>
      </c>
      <c r="CB117" s="21"/>
    </row>
    <row r="118" spans="2:80" ht="16.149999999999999" customHeight="1" x14ac:dyDescent="0.2"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70"/>
      <c r="AA118" s="10"/>
      <c r="AB118" s="10"/>
      <c r="AC118" s="10"/>
      <c r="AD118" s="10"/>
      <c r="AE118" s="223"/>
      <c r="AF118" s="10"/>
      <c r="AG118" s="10"/>
      <c r="AH118" s="10"/>
      <c r="CA118" s="21" t="e">
        <f>INDEX(DateiListe_RBA,ROW()-121)</f>
        <v>#VALUE!</v>
      </c>
      <c r="CB118" s="21"/>
    </row>
    <row r="119" spans="2:80" ht="16.149999999999999" customHeight="1" x14ac:dyDescent="0.2"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70"/>
      <c r="AA119" s="10"/>
      <c r="AB119" s="10"/>
      <c r="AC119" s="10"/>
      <c r="AD119" s="10"/>
      <c r="AE119" s="223"/>
      <c r="AF119" s="10"/>
      <c r="AG119" s="10"/>
      <c r="AH119" s="10"/>
      <c r="CA119" s="21" t="e">
        <f>INDEX(DateiListe_RBA,ROW()-121)</f>
        <v>#VALUE!</v>
      </c>
      <c r="CB119" s="21"/>
    </row>
    <row r="120" spans="2:80" ht="16.149999999999999" customHeight="1" x14ac:dyDescent="0.2"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70"/>
      <c r="AA120" s="10"/>
      <c r="AB120" s="10"/>
      <c r="AC120" s="10"/>
      <c r="AD120" s="10"/>
      <c r="AE120" s="223"/>
      <c r="AF120" s="10"/>
      <c r="AG120" s="10"/>
      <c r="AH120" s="10"/>
      <c r="CA120" s="21" t="e">
        <f>INDEX(DateiListe_RBA,ROW()-121)</f>
        <v>#VALUE!</v>
      </c>
      <c r="CB120" s="21"/>
    </row>
    <row r="121" spans="2:80" ht="16.149999999999999" customHeight="1" x14ac:dyDescent="0.2"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70"/>
      <c r="AA121" s="10"/>
      <c r="AB121" s="10"/>
      <c r="AC121" s="10"/>
      <c r="AD121" s="10"/>
      <c r="AE121" s="223"/>
      <c r="AF121" s="10"/>
      <c r="AG121" s="10"/>
      <c r="AH121" s="10"/>
      <c r="CA121" s="21" t="str">
        <f>INDEX(DateiListe_RBA,ROW()-121)</f>
        <v>EBNH9318.JPG</v>
      </c>
      <c r="CB121" s="21"/>
    </row>
    <row r="122" spans="2:80" ht="16.149999999999999" customHeight="1" x14ac:dyDescent="0.2"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70"/>
      <c r="AA122" s="10"/>
      <c r="AB122" s="10"/>
      <c r="AC122" s="10"/>
      <c r="AD122" s="10"/>
      <c r="AE122" s="223"/>
      <c r="AF122" s="10"/>
      <c r="AG122" s="10"/>
      <c r="AH122" s="10"/>
      <c r="CA122" s="21" t="str">
        <f>INDEX(DateiListe_RBA,ROW()-121)</f>
        <v>EBNH9318.JPG</v>
      </c>
      <c r="CB122" s="21"/>
    </row>
    <row r="123" spans="2:80" ht="16.149999999999999" customHeight="1" x14ac:dyDescent="0.2"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70"/>
      <c r="AA123" s="10"/>
      <c r="AB123" s="10"/>
      <c r="AC123" s="10"/>
      <c r="AD123" s="10"/>
      <c r="AE123" s="223"/>
      <c r="AF123" s="10"/>
      <c r="AG123" s="10"/>
      <c r="AH123" s="10"/>
      <c r="CA123" s="21" t="str">
        <f>INDEX(DateiListe_RBA,ROW()-121)</f>
        <v>IMG_4453.JPG</v>
      </c>
      <c r="CB123" s="21"/>
    </row>
    <row r="124" spans="2:80" ht="16.149999999999999" customHeight="1" x14ac:dyDescent="0.2"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70"/>
      <c r="AA124" s="10"/>
      <c r="AB124" s="10"/>
      <c r="AC124" s="10"/>
      <c r="AD124" s="10"/>
      <c r="AE124" s="223"/>
      <c r="AF124" s="10"/>
      <c r="AG124" s="10"/>
      <c r="AH124" s="10"/>
      <c r="CA124" s="21" t="str">
        <f>INDEX(DateiListe_RBA,ROW()-121)</f>
        <v>IMG_4454.JPG</v>
      </c>
      <c r="CB124" s="21"/>
    </row>
    <row r="125" spans="2:80" ht="16.149999999999999" customHeight="1" x14ac:dyDescent="0.2"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70"/>
      <c r="AA125" s="10"/>
      <c r="AB125" s="10"/>
      <c r="AC125" s="10"/>
      <c r="AD125" s="10"/>
      <c r="AE125" s="223"/>
      <c r="AF125" s="10"/>
      <c r="AG125" s="10"/>
      <c r="AH125" s="10"/>
      <c r="CA125" s="21" t="str">
        <f>INDEX(DateiListe_RBA,ROW()-121)</f>
        <v>KOMW4794.JPG</v>
      </c>
      <c r="CB125" s="21"/>
    </row>
    <row r="126" spans="2:80" ht="16.149999999999999" customHeight="1" x14ac:dyDescent="0.2"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70"/>
      <c r="AA126" s="10"/>
      <c r="AB126" s="10"/>
      <c r="AC126" s="10"/>
      <c r="AD126" s="10"/>
      <c r="AE126" s="223"/>
      <c r="AF126" s="10"/>
      <c r="AG126" s="10"/>
      <c r="AH126" s="10"/>
      <c r="CA126" s="21" t="str">
        <f>INDEX(DateiListe_RBA,ROW()-121)</f>
        <v>LQSB8872.JPG</v>
      </c>
      <c r="CB126" s="21"/>
    </row>
    <row r="127" spans="2:80" ht="16.149999999999999" customHeight="1" x14ac:dyDescent="0.2"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70"/>
      <c r="AA127" s="10"/>
      <c r="AB127" s="10"/>
      <c r="AC127" s="10"/>
      <c r="AD127" s="10"/>
      <c r="AE127" s="223"/>
      <c r="AF127" s="10"/>
      <c r="AG127" s="10"/>
      <c r="AH127" s="10"/>
      <c r="CA127" s="21" t="str">
        <f>INDEX(DateiListe_RBA,ROW()-121)</f>
        <v>Montage Bedienschrank.JPG</v>
      </c>
      <c r="CB127" s="21"/>
    </row>
    <row r="128" spans="2:80" ht="16.149999999999999" customHeight="1" x14ac:dyDescent="0.2"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70"/>
      <c r="AA128" s="10"/>
      <c r="AB128" s="10"/>
      <c r="AC128" s="10"/>
      <c r="AD128" s="10"/>
      <c r="AE128" s="223"/>
      <c r="AF128" s="10"/>
      <c r="AG128" s="10"/>
      <c r="AH128" s="10"/>
      <c r="CA128" s="21" t="str">
        <f>INDEX(DateiListe_RBA,ROW()-121)</f>
        <v>OQVQ9000.JPG</v>
      </c>
      <c r="CB128" s="21"/>
    </row>
    <row r="129" spans="2:80" ht="16.149999999999999" customHeight="1" x14ac:dyDescent="0.2"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70"/>
      <c r="AA129" s="10"/>
      <c r="AB129" s="10"/>
      <c r="AC129" s="10"/>
      <c r="AD129" s="10"/>
      <c r="AE129" s="223"/>
      <c r="AF129" s="10"/>
      <c r="AG129" s="10"/>
      <c r="AH129" s="10"/>
      <c r="CA129" s="21" t="str">
        <f>INDEX(DateiListe_RBA,ROW()-121)</f>
        <v>PTNB1407.JPG</v>
      </c>
      <c r="CB129" s="21"/>
    </row>
    <row r="130" spans="2:80" ht="16.149999999999999" customHeight="1" x14ac:dyDescent="0.2"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70"/>
      <c r="AA130" s="10"/>
      <c r="AB130" s="10"/>
      <c r="AC130" s="10"/>
      <c r="AD130" s="10"/>
      <c r="AE130" s="223"/>
      <c r="AF130" s="10"/>
      <c r="AG130" s="10"/>
      <c r="AH130" s="10"/>
      <c r="CA130" s="21" t="str">
        <f>INDEX(DateiListe_RBA,ROW()-121)</f>
        <v>QZVA7765.JPG</v>
      </c>
    </row>
    <row r="131" spans="2:80" ht="16.149999999999999" customHeight="1" x14ac:dyDescent="0.2"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70"/>
      <c r="AA131" s="10"/>
      <c r="AB131" s="10"/>
      <c r="AC131" s="10"/>
      <c r="AD131" s="10"/>
      <c r="AE131" s="223"/>
      <c r="AF131" s="10"/>
      <c r="AG131" s="10"/>
      <c r="AH131" s="10"/>
      <c r="CA131" s="21" t="str">
        <f>INDEX(DateiListe_RBA,ROW()-121)</f>
        <v>SDCX2016.JPG</v>
      </c>
    </row>
    <row r="132" spans="2:80" ht="16.149999999999999" customHeight="1" x14ac:dyDescent="0.2"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70"/>
      <c r="AA132" s="10"/>
      <c r="AB132" s="10"/>
      <c r="AC132" s="10"/>
      <c r="AD132" s="10"/>
      <c r="AE132" s="223"/>
      <c r="AF132" s="10"/>
      <c r="AG132" s="10"/>
      <c r="AH132" s="10"/>
      <c r="CA132" s="21" t="str">
        <f>INDEX(DateiListe_RBA,ROW()-121)</f>
        <v>Trennblech Geräteschrank (2).JPG</v>
      </c>
    </row>
    <row r="133" spans="2:80" ht="16.149999999999999" customHeight="1" x14ac:dyDescent="0.2"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70"/>
      <c r="AA133" s="10"/>
      <c r="AB133" s="10"/>
      <c r="AC133" s="10"/>
      <c r="AD133" s="10"/>
      <c r="AE133" s="223"/>
      <c r="AF133" s="10"/>
      <c r="AG133" s="10"/>
      <c r="AH133" s="10"/>
      <c r="CA133" s="21" t="str">
        <f>INDEX(DateiListe_RBA,ROW()-121)</f>
        <v>Trennblech Geräteschrank (3).JPG</v>
      </c>
    </row>
    <row r="134" spans="2:80" ht="16.149999999999999" customHeight="1" x14ac:dyDescent="0.2"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70"/>
      <c r="AA134" s="10"/>
      <c r="AB134" s="10"/>
      <c r="AC134" s="10"/>
      <c r="AD134" s="10"/>
      <c r="AE134" s="223"/>
      <c r="AF134" s="10"/>
      <c r="AG134" s="10"/>
      <c r="AH134" s="10"/>
      <c r="CA134" s="21" t="str">
        <f>INDEX(DateiListe_RBA,ROW()-121)</f>
        <v>Trennblech Geräteschrank.JPG</v>
      </c>
    </row>
    <row r="135" spans="2:80" ht="16.149999999999999" customHeight="1" x14ac:dyDescent="0.2"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70"/>
      <c r="AA135" s="10"/>
      <c r="AB135" s="10"/>
      <c r="AC135" s="10"/>
      <c r="AD135" s="10"/>
      <c r="AE135" s="223"/>
      <c r="AF135" s="10"/>
      <c r="AG135" s="10"/>
      <c r="AH135" s="10"/>
      <c r="CA135" s="21" t="str">
        <f>INDEX(DateiListe_RBA,ROW()-121)</f>
        <v>Umlenkroll Fa. Berndt.JPG</v>
      </c>
    </row>
    <row r="136" spans="2:80" ht="16.149999999999999" customHeight="1" x14ac:dyDescent="0.2"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70"/>
      <c r="AA136" s="10"/>
      <c r="AB136" s="10"/>
      <c r="AC136" s="10"/>
      <c r="AD136" s="10"/>
      <c r="AE136" s="223"/>
      <c r="AF136" s="10"/>
      <c r="AG136" s="10"/>
      <c r="AH136" s="10"/>
      <c r="CA136" s="21" t="str">
        <f>INDEX(DateiListe_RBA,ROW()-121)</f>
        <v>UNJG3422.JPG</v>
      </c>
    </row>
    <row r="137" spans="2:80" ht="16.149999999999999" customHeight="1" x14ac:dyDescent="0.2"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70"/>
      <c r="AA137" s="10"/>
      <c r="AB137" s="10"/>
      <c r="AC137" s="10"/>
      <c r="AD137" s="10"/>
      <c r="AE137" s="223"/>
      <c r="AF137" s="10"/>
      <c r="AG137" s="10"/>
      <c r="AH137" s="10"/>
      <c r="CA137" s="21" t="str">
        <f>INDEX(DateiListe_RBA,ROW()-121)</f>
        <v>XUQA8413.JPG</v>
      </c>
    </row>
    <row r="138" spans="2:80" ht="16.149999999999999" customHeight="1" x14ac:dyDescent="0.2"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70"/>
      <c r="AA138" s="10"/>
      <c r="AB138" s="10"/>
      <c r="AC138" s="10"/>
      <c r="AD138" s="10"/>
      <c r="AE138" s="223"/>
      <c r="AF138" s="10"/>
      <c r="AG138" s="10"/>
      <c r="AH138" s="10"/>
      <c r="CA138" s="21" t="e">
        <f>INDEX(DateiListe_RBA,ROW()-121)</f>
        <v>#REF!</v>
      </c>
    </row>
    <row r="139" spans="2:80" ht="16.149999999999999" customHeight="1" x14ac:dyDescent="0.2"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70"/>
      <c r="AA139" s="10"/>
      <c r="AB139" s="10"/>
      <c r="AC139" s="10"/>
      <c r="AD139" s="10"/>
      <c r="AE139" s="223"/>
      <c r="AF139" s="10"/>
      <c r="AG139" s="10"/>
      <c r="AH139" s="10"/>
      <c r="CA139" s="21" t="e">
        <f>INDEX(DateiListe_RBA,ROW()-121)</f>
        <v>#REF!</v>
      </c>
    </row>
    <row r="140" spans="2:80" ht="16.149999999999999" customHeight="1" x14ac:dyDescent="0.2"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70"/>
      <c r="AA140" s="10"/>
      <c r="AB140" s="10"/>
      <c r="AC140" s="10"/>
      <c r="AD140" s="10"/>
      <c r="AE140" s="223"/>
      <c r="AF140" s="10"/>
      <c r="AG140" s="10"/>
      <c r="AH140" s="10"/>
      <c r="CA140" s="21" t="e">
        <f>INDEX(DateiListe_RBA,ROW()-121)</f>
        <v>#REF!</v>
      </c>
    </row>
    <row r="141" spans="2:80" ht="16.149999999999999" customHeight="1" x14ac:dyDescent="0.2"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70"/>
      <c r="AA141" s="10"/>
      <c r="AB141" s="10"/>
      <c r="AC141" s="10"/>
      <c r="AD141" s="10"/>
      <c r="AE141" s="223"/>
      <c r="AF141" s="10"/>
      <c r="AG141" s="10"/>
      <c r="AH141" s="10"/>
      <c r="CA141" s="21" t="e">
        <f>INDEX(DateiListe_RBA,ROW()-121)</f>
        <v>#REF!</v>
      </c>
    </row>
    <row r="142" spans="2:80" ht="16.149999999999999" customHeight="1" x14ac:dyDescent="0.2"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70"/>
      <c r="AA142" s="10"/>
      <c r="AB142" s="10"/>
      <c r="AC142" s="10"/>
      <c r="AD142" s="10"/>
      <c r="AE142" s="223"/>
      <c r="AF142" s="10"/>
      <c r="AG142" s="10"/>
      <c r="AH142" s="10"/>
      <c r="CA142" s="21" t="e">
        <f>INDEX(DateiListe_RBA,ROW()-121)</f>
        <v>#REF!</v>
      </c>
    </row>
    <row r="143" spans="2:80" ht="16.149999999999999" customHeight="1" x14ac:dyDescent="0.2"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70"/>
      <c r="AA143" s="10"/>
      <c r="AB143" s="10"/>
      <c r="AC143" s="10"/>
      <c r="AD143" s="10"/>
      <c r="AE143" s="223"/>
      <c r="AF143" s="10"/>
      <c r="AG143" s="10"/>
      <c r="AH143" s="10"/>
      <c r="CA143" s="21" t="e">
        <f>INDEX(DateiListe_RBA,ROW()-121)</f>
        <v>#REF!</v>
      </c>
    </row>
    <row r="144" spans="2:80" ht="16.149999999999999" customHeight="1" x14ac:dyDescent="0.2"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70"/>
      <c r="AA144" s="10"/>
      <c r="AB144" s="10"/>
      <c r="AC144" s="10"/>
      <c r="AD144" s="10"/>
      <c r="AE144" s="223"/>
      <c r="AF144" s="10"/>
      <c r="AG144" s="10"/>
      <c r="AH144" s="10"/>
      <c r="CA144" s="21" t="e">
        <f>INDEX(DateiListe_RBA,ROW()-121)</f>
        <v>#REF!</v>
      </c>
    </row>
    <row r="145" spans="2:79" ht="16.149999999999999" customHeight="1" x14ac:dyDescent="0.2"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70"/>
      <c r="AA145" s="10"/>
      <c r="AB145" s="10"/>
      <c r="AC145" s="10"/>
      <c r="AD145" s="10"/>
      <c r="AE145" s="223"/>
      <c r="AF145" s="10"/>
      <c r="AG145" s="10"/>
      <c r="AH145" s="10"/>
      <c r="CA145" s="21" t="e">
        <f>INDEX(DateiListe_RBA,ROW()-121)</f>
        <v>#REF!</v>
      </c>
    </row>
    <row r="146" spans="2:79" ht="16.149999999999999" customHeight="1" x14ac:dyDescent="0.2"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70"/>
      <c r="AA146" s="10"/>
      <c r="AB146" s="10"/>
      <c r="AC146" s="10"/>
      <c r="AD146" s="10"/>
      <c r="AE146" s="223"/>
      <c r="AF146" s="10"/>
      <c r="AG146" s="10"/>
      <c r="AH146" s="10"/>
      <c r="CA146" s="21" t="e">
        <f>INDEX(DateiListe_RBA,ROW()-121)</f>
        <v>#REF!</v>
      </c>
    </row>
    <row r="147" spans="2:79" ht="16.149999999999999" customHeight="1" x14ac:dyDescent="0.2"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70"/>
      <c r="AA147" s="10"/>
      <c r="AB147" s="10"/>
      <c r="AC147" s="10"/>
      <c r="AD147" s="10"/>
      <c r="AE147" s="223"/>
      <c r="AF147" s="10"/>
      <c r="AG147" s="10"/>
      <c r="AH147" s="10"/>
      <c r="CA147" s="21" t="e">
        <f>INDEX(DateiListe_RBA,ROW()-121)</f>
        <v>#REF!</v>
      </c>
    </row>
    <row r="148" spans="2:79" ht="16.149999999999999" customHeight="1" x14ac:dyDescent="0.2"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70"/>
      <c r="AA148" s="10"/>
      <c r="AB148" s="10"/>
      <c r="AC148" s="10"/>
      <c r="AD148" s="10"/>
      <c r="AE148" s="223"/>
      <c r="AF148" s="10"/>
      <c r="AG148" s="10"/>
      <c r="AH148" s="10"/>
      <c r="CA148" s="21" t="e">
        <f>INDEX(DateiListe_RBA,ROW()-121)</f>
        <v>#REF!</v>
      </c>
    </row>
    <row r="149" spans="2:79" ht="16.149999999999999" customHeight="1" x14ac:dyDescent="0.2"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70"/>
      <c r="AA149" s="10"/>
      <c r="AB149" s="10"/>
      <c r="AC149" s="10"/>
      <c r="AD149" s="10"/>
      <c r="AE149" s="223"/>
      <c r="AF149" s="10"/>
      <c r="AG149" s="10"/>
      <c r="AH149" s="10"/>
      <c r="CA149" s="21" t="e">
        <f>INDEX(DateiListe_RBA,ROW()-121)</f>
        <v>#REF!</v>
      </c>
    </row>
    <row r="150" spans="2:79" ht="16.149999999999999" customHeight="1" x14ac:dyDescent="0.2"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70"/>
      <c r="AA150" s="10"/>
      <c r="AB150" s="10"/>
      <c r="AC150" s="10"/>
      <c r="AD150" s="10"/>
      <c r="AE150" s="223"/>
      <c r="AF150" s="10"/>
      <c r="AG150" s="10"/>
      <c r="AH150" s="10"/>
      <c r="CA150" s="21" t="e">
        <f>INDEX(DateiListe_RBA,ROW()-121)</f>
        <v>#REF!</v>
      </c>
    </row>
    <row r="151" spans="2:79" ht="16.149999999999999" customHeight="1" x14ac:dyDescent="0.2"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70"/>
      <c r="AA151" s="10"/>
      <c r="AB151" s="10"/>
      <c r="AC151" s="10"/>
      <c r="AD151" s="10"/>
      <c r="AE151" s="223"/>
      <c r="AF151" s="10"/>
      <c r="AG151" s="10"/>
      <c r="AH151" s="10"/>
      <c r="CA151" s="21" t="e">
        <f>INDEX(DateiListe_RBA,ROW()-121)</f>
        <v>#REF!</v>
      </c>
    </row>
    <row r="152" spans="2:79" ht="16.149999999999999" customHeight="1" x14ac:dyDescent="0.2"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70"/>
      <c r="AA152" s="10"/>
      <c r="AB152" s="10"/>
      <c r="AC152" s="10"/>
      <c r="AD152" s="10"/>
      <c r="AE152" s="223"/>
      <c r="AF152" s="10"/>
      <c r="AG152" s="10"/>
      <c r="AH152" s="10"/>
      <c r="CA152" s="21" t="e">
        <f>INDEX(DateiListe_RBA,ROW()-121)</f>
        <v>#REF!</v>
      </c>
    </row>
    <row r="153" spans="2:79" ht="16.149999999999999" customHeight="1" x14ac:dyDescent="0.2"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70"/>
      <c r="AA153" s="10"/>
      <c r="AB153" s="10"/>
      <c r="AC153" s="10"/>
      <c r="AD153" s="10"/>
      <c r="AE153" s="223"/>
      <c r="AF153" s="10"/>
      <c r="AG153" s="10"/>
      <c r="AH153" s="10"/>
      <c r="CA153" s="21" t="e">
        <f>INDEX(DateiListe_RBA,ROW()-121)</f>
        <v>#REF!</v>
      </c>
    </row>
    <row r="154" spans="2:79" ht="16.149999999999999" customHeight="1" x14ac:dyDescent="0.2"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70"/>
      <c r="AA154" s="10"/>
      <c r="AB154" s="10"/>
      <c r="AC154" s="10"/>
      <c r="AD154" s="10"/>
      <c r="AE154" s="223"/>
      <c r="AF154" s="10"/>
      <c r="AG154" s="10"/>
      <c r="AH154" s="10"/>
      <c r="CA154" s="21" t="e">
        <f>INDEX(DateiListe_RBA,ROW()-121)</f>
        <v>#REF!</v>
      </c>
    </row>
    <row r="155" spans="2:79" ht="16.149999999999999" customHeight="1" x14ac:dyDescent="0.2"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70"/>
      <c r="AA155" s="10"/>
      <c r="AB155" s="10"/>
      <c r="AC155" s="10"/>
      <c r="AD155" s="10"/>
      <c r="AE155" s="223"/>
      <c r="AF155" s="10"/>
      <c r="AG155" s="10"/>
      <c r="AH155" s="10"/>
      <c r="CA155" s="21" t="e">
        <f>INDEX(DateiListe_RBA,ROW()-121)</f>
        <v>#REF!</v>
      </c>
    </row>
    <row r="156" spans="2:79" ht="16.149999999999999" customHeight="1" x14ac:dyDescent="0.2"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70"/>
      <c r="AA156" s="10"/>
      <c r="AB156" s="10"/>
      <c r="AC156" s="10"/>
      <c r="AD156" s="10"/>
      <c r="AE156" s="223"/>
      <c r="AF156" s="10"/>
      <c r="AG156" s="10"/>
      <c r="AH156" s="10"/>
      <c r="CA156" s="21" t="e">
        <f>INDEX(DateiListe_RBA,ROW()-121)</f>
        <v>#REF!</v>
      </c>
    </row>
    <row r="157" spans="2:79" ht="16.149999999999999" customHeight="1" x14ac:dyDescent="0.2"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70"/>
      <c r="AA157" s="10"/>
      <c r="AB157" s="10"/>
      <c r="AC157" s="10"/>
      <c r="AD157" s="10"/>
      <c r="AE157" s="223"/>
      <c r="AF157" s="10"/>
      <c r="AG157" s="10"/>
      <c r="AH157" s="10"/>
      <c r="CA157" s="21" t="e">
        <f>INDEX(DateiListe_RBA,ROW()-121)</f>
        <v>#REF!</v>
      </c>
    </row>
    <row r="158" spans="2:79" ht="16.149999999999999" customHeight="1" x14ac:dyDescent="0.2"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70"/>
      <c r="AA158" s="10"/>
      <c r="AB158" s="10"/>
      <c r="AC158" s="10"/>
      <c r="AD158" s="10"/>
      <c r="AE158" s="223"/>
      <c r="AF158" s="10"/>
      <c r="AG158" s="10"/>
      <c r="AH158" s="10"/>
      <c r="CA158" s="21" t="e">
        <f>INDEX(DateiListe_RBA,ROW()-121)</f>
        <v>#REF!</v>
      </c>
    </row>
    <row r="159" spans="2:79" ht="16.149999999999999" customHeight="1" x14ac:dyDescent="0.2"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70"/>
      <c r="AA159" s="10"/>
      <c r="AB159" s="10"/>
      <c r="AC159" s="10"/>
      <c r="AD159" s="10"/>
      <c r="AE159" s="223"/>
      <c r="AF159" s="10"/>
      <c r="AG159" s="10"/>
      <c r="AH159" s="10"/>
      <c r="CA159" s="21" t="e">
        <f>INDEX(DateiListe_RBA,ROW()-121)</f>
        <v>#REF!</v>
      </c>
    </row>
    <row r="160" spans="2:79" ht="16.149999999999999" customHeight="1" x14ac:dyDescent="0.2"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70"/>
      <c r="AA160" s="10"/>
      <c r="AB160" s="10"/>
      <c r="AC160" s="10"/>
      <c r="AD160" s="10"/>
      <c r="AE160" s="223"/>
      <c r="AF160" s="10"/>
      <c r="AG160" s="10"/>
      <c r="AH160" s="10"/>
      <c r="CA160" s="21" t="e">
        <f>INDEX(DateiListe_RBA,ROW()-121)</f>
        <v>#REF!</v>
      </c>
    </row>
    <row r="161" spans="1:79" ht="16.149999999999999" customHeight="1" x14ac:dyDescent="0.2"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70"/>
      <c r="AA161" s="10"/>
      <c r="AB161" s="10"/>
      <c r="AC161" s="10"/>
      <c r="AD161" s="10"/>
      <c r="AE161" s="223"/>
      <c r="AF161" s="10"/>
      <c r="AG161" s="10"/>
      <c r="AH161" s="10"/>
      <c r="CA161" s="21" t="e">
        <f>INDEX(DateiListe_RBA,ROW()-121)</f>
        <v>#REF!</v>
      </c>
    </row>
    <row r="162" spans="1:79" ht="16.149999999999999" customHeight="1" x14ac:dyDescent="0.2"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70"/>
      <c r="AA162" s="10"/>
      <c r="AB162" s="10"/>
      <c r="AC162" s="10"/>
      <c r="AD162" s="10"/>
      <c r="AE162" s="223"/>
      <c r="AF162" s="10"/>
      <c r="AG162" s="10"/>
      <c r="AH162" s="10"/>
      <c r="CA162" s="21" t="e">
        <f>INDEX(DateiListe_RBA,ROW()-121)</f>
        <v>#REF!</v>
      </c>
    </row>
    <row r="163" spans="1:79" ht="16.149999999999999" customHeight="1" x14ac:dyDescent="0.2"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70"/>
      <c r="AA163" s="10"/>
      <c r="AB163" s="10"/>
      <c r="AC163" s="10"/>
      <c r="AD163" s="10"/>
      <c r="AE163" s="223"/>
      <c r="AF163" s="10"/>
      <c r="AG163" s="10"/>
      <c r="AH163" s="10"/>
      <c r="CA163" s="21" t="e">
        <f>INDEX(DateiListe_RBA,ROW()-121)</f>
        <v>#REF!</v>
      </c>
    </row>
    <row r="164" spans="1:79" ht="16.149999999999999" customHeight="1" x14ac:dyDescent="0.2"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70"/>
      <c r="AA164" s="10"/>
      <c r="AB164" s="10"/>
      <c r="AC164" s="10"/>
      <c r="AD164" s="10"/>
      <c r="AE164" s="223"/>
      <c r="AF164" s="10"/>
      <c r="AG164" s="10"/>
      <c r="AH164" s="10"/>
    </row>
    <row r="165" spans="1:79" ht="16.149999999999999" customHeight="1" x14ac:dyDescent="0.2"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70"/>
      <c r="AA165" s="10"/>
      <c r="AB165" s="10"/>
      <c r="AC165" s="10"/>
      <c r="AD165" s="10"/>
      <c r="AE165" s="223"/>
      <c r="AF165" s="10"/>
      <c r="AG165" s="10"/>
      <c r="AH165" s="10"/>
    </row>
    <row r="166" spans="1:79" ht="16.149999999999999" customHeight="1" x14ac:dyDescent="0.2">
      <c r="A166" s="234"/>
      <c r="Z166" s="10"/>
      <c r="AA166" s="10"/>
      <c r="AB166" s="10"/>
      <c r="AC166" s="10"/>
      <c r="AD166" s="10"/>
      <c r="AE166" s="223"/>
      <c r="AF166" s="10"/>
      <c r="AG166" s="10"/>
      <c r="AH166" s="10"/>
    </row>
    <row r="167" spans="1:79" ht="16.149999999999999" customHeight="1" x14ac:dyDescent="0.2">
      <c r="A167" s="234"/>
      <c r="Z167" s="10"/>
      <c r="AA167" s="10"/>
      <c r="AB167" s="10"/>
      <c r="AC167" s="10"/>
      <c r="AD167" s="10"/>
      <c r="AE167" s="223"/>
      <c r="AF167" s="10"/>
      <c r="AG167" s="10"/>
      <c r="AH167" s="10"/>
    </row>
    <row r="168" spans="1:79" ht="16.149999999999999" customHeight="1" x14ac:dyDescent="0.2">
      <c r="A168" s="234"/>
      <c r="Z168" s="10"/>
      <c r="AA168" s="10"/>
      <c r="AB168" s="10"/>
      <c r="AC168" s="10"/>
      <c r="AD168" s="10"/>
      <c r="AE168" s="223"/>
      <c r="AF168" s="10"/>
      <c r="AG168" s="10"/>
      <c r="AH168" s="10"/>
    </row>
    <row r="169" spans="1:79" ht="16.149999999999999" customHeight="1" x14ac:dyDescent="0.2">
      <c r="A169" s="234"/>
      <c r="Z169" s="10"/>
      <c r="AA169" s="10"/>
      <c r="AB169" s="10"/>
      <c r="AC169" s="10"/>
      <c r="AD169" s="10"/>
      <c r="AE169" s="223"/>
      <c r="AF169" s="10"/>
      <c r="AG169" s="10"/>
      <c r="AH169" s="10"/>
    </row>
    <row r="170" spans="1:79" ht="16.149999999999999" customHeight="1" x14ac:dyDescent="0.2">
      <c r="A170" s="234"/>
      <c r="Z170" s="10"/>
      <c r="AA170" s="10"/>
      <c r="AB170" s="10"/>
      <c r="AC170" s="10"/>
      <c r="AD170" s="10"/>
      <c r="AE170" s="223"/>
      <c r="AF170" s="10"/>
      <c r="AG170" s="10"/>
      <c r="AH170" s="10"/>
    </row>
    <row r="171" spans="1:79" ht="16.149999999999999" customHeight="1" x14ac:dyDescent="0.2">
      <c r="A171" s="234"/>
      <c r="Z171" s="10"/>
      <c r="AA171" s="10"/>
      <c r="AB171" s="10"/>
      <c r="AC171" s="10"/>
      <c r="AD171" s="10"/>
      <c r="AE171" s="223"/>
      <c r="AF171" s="10"/>
      <c r="AG171" s="10"/>
      <c r="AH171" s="10"/>
    </row>
    <row r="172" spans="1:79" ht="16.149999999999999" customHeight="1" x14ac:dyDescent="0.2">
      <c r="A172" s="234"/>
      <c r="Z172" s="10"/>
      <c r="AA172" s="10"/>
      <c r="AB172" s="10"/>
      <c r="AC172" s="10"/>
      <c r="AD172" s="10"/>
      <c r="AE172" s="223"/>
      <c r="AF172" s="10"/>
      <c r="AG172" s="10"/>
      <c r="AH172" s="10"/>
    </row>
    <row r="173" spans="1:79" ht="16.149999999999999" customHeight="1" x14ac:dyDescent="0.2">
      <c r="A173" s="234"/>
      <c r="Z173" s="10"/>
      <c r="AA173" s="10"/>
      <c r="AB173" s="10"/>
      <c r="AC173" s="10"/>
      <c r="AD173" s="10"/>
      <c r="AE173" s="223"/>
      <c r="AF173" s="10"/>
      <c r="AG173" s="10"/>
      <c r="AH173" s="10"/>
    </row>
    <row r="174" spans="1:79" ht="16.149999999999999" customHeight="1" x14ac:dyDescent="0.2">
      <c r="A174" s="234"/>
      <c r="Z174" s="10"/>
      <c r="AA174" s="10"/>
      <c r="AB174" s="10"/>
      <c r="AC174" s="10"/>
      <c r="AD174" s="10"/>
      <c r="AE174" s="223"/>
      <c r="AF174" s="10"/>
      <c r="AG174" s="10"/>
      <c r="AH174" s="10"/>
    </row>
    <row r="175" spans="1:79" ht="16.149999999999999" customHeight="1" x14ac:dyDescent="0.2">
      <c r="A175" s="234"/>
      <c r="Y175" s="10"/>
      <c r="Z175" s="10"/>
      <c r="AA175" s="10"/>
      <c r="AB175" s="10"/>
      <c r="AC175" s="10"/>
      <c r="AD175" s="10"/>
      <c r="AE175" s="223"/>
      <c r="AF175" s="10"/>
      <c r="AG175" s="10"/>
      <c r="AH175" s="10"/>
    </row>
    <row r="176" spans="1:79" ht="16.149999999999999" customHeight="1" x14ac:dyDescent="0.2">
      <c r="A176" s="234"/>
      <c r="Y176" s="10"/>
      <c r="Z176" s="10"/>
      <c r="AA176" s="10"/>
      <c r="AB176" s="10"/>
      <c r="AC176" s="10"/>
      <c r="AD176" s="10"/>
      <c r="AE176" s="223"/>
      <c r="AF176" s="10"/>
      <c r="AG176" s="10"/>
      <c r="AH176" s="10"/>
    </row>
    <row r="177" spans="1:34" ht="16.149999999999999" customHeight="1" x14ac:dyDescent="0.2">
      <c r="A177" s="234"/>
      <c r="Y177" s="10"/>
      <c r="Z177" s="10"/>
      <c r="AA177" s="10"/>
      <c r="AB177" s="10"/>
      <c r="AC177" s="10"/>
      <c r="AD177" s="10"/>
      <c r="AE177" s="223"/>
      <c r="AF177" s="10"/>
      <c r="AG177" s="10"/>
      <c r="AH177" s="10"/>
    </row>
    <row r="178" spans="1:34" ht="16.149999999999999" customHeight="1" x14ac:dyDescent="0.2">
      <c r="A178" s="234"/>
      <c r="Y178" s="10"/>
      <c r="Z178" s="10"/>
      <c r="AA178" s="10"/>
      <c r="AB178" s="10"/>
      <c r="AC178" s="10"/>
      <c r="AD178" s="10"/>
      <c r="AE178" s="223"/>
      <c r="AF178" s="10"/>
      <c r="AG178" s="10"/>
      <c r="AH178" s="10"/>
    </row>
    <row r="179" spans="1:34" ht="16.149999999999999" customHeight="1" x14ac:dyDescent="0.2">
      <c r="A179" s="234"/>
      <c r="Y179" s="10"/>
      <c r="Z179" s="10"/>
      <c r="AA179" s="10"/>
      <c r="AB179" s="10"/>
      <c r="AC179" s="10"/>
      <c r="AD179" s="10"/>
      <c r="AE179" s="223"/>
      <c r="AF179" s="10"/>
      <c r="AG179" s="10"/>
      <c r="AH179" s="10"/>
    </row>
    <row r="180" spans="1:34" ht="16.149999999999999" customHeight="1" x14ac:dyDescent="0.2">
      <c r="A180" s="234"/>
      <c r="Y180" s="10"/>
      <c r="Z180" s="10"/>
      <c r="AA180" s="10"/>
      <c r="AB180" s="10"/>
      <c r="AC180" s="10"/>
      <c r="AD180" s="10"/>
      <c r="AE180" s="223"/>
      <c r="AF180" s="10"/>
      <c r="AG180" s="10"/>
      <c r="AH180" s="10"/>
    </row>
    <row r="181" spans="1:34" ht="16.149999999999999" customHeight="1" x14ac:dyDescent="0.2">
      <c r="A181" s="234"/>
      <c r="Y181" s="10"/>
      <c r="Z181" s="10"/>
      <c r="AA181" s="10"/>
      <c r="AB181" s="10"/>
      <c r="AC181" s="10"/>
      <c r="AD181" s="10"/>
      <c r="AE181" s="223"/>
      <c r="AF181" s="10"/>
      <c r="AG181" s="10"/>
      <c r="AH181" s="10"/>
    </row>
    <row r="182" spans="1:34" ht="16.149999999999999" customHeight="1" x14ac:dyDescent="0.2">
      <c r="A182" s="234"/>
      <c r="Y182" s="10"/>
      <c r="Z182" s="10"/>
      <c r="AA182" s="10"/>
      <c r="AB182" s="10"/>
      <c r="AC182" s="10"/>
      <c r="AD182" s="10"/>
      <c r="AE182" s="223"/>
      <c r="AF182" s="10"/>
      <c r="AG182" s="10"/>
      <c r="AH182" s="10"/>
    </row>
    <row r="183" spans="1:34" ht="16.149999999999999" customHeight="1" x14ac:dyDescent="0.2">
      <c r="A183" s="234"/>
      <c r="Y183" s="10"/>
      <c r="Z183" s="10"/>
      <c r="AA183" s="10"/>
      <c r="AB183" s="10"/>
      <c r="AC183" s="10"/>
      <c r="AD183" s="10"/>
      <c r="AE183" s="223"/>
      <c r="AF183" s="10"/>
      <c r="AG183" s="10"/>
      <c r="AH183" s="10"/>
    </row>
    <row r="184" spans="1:34" ht="16.149999999999999" customHeight="1" x14ac:dyDescent="0.2">
      <c r="A184" s="234"/>
      <c r="Y184" s="10"/>
      <c r="Z184" s="10"/>
      <c r="AA184" s="10"/>
      <c r="AB184" s="10"/>
      <c r="AC184" s="10"/>
      <c r="AD184" s="10"/>
      <c r="AE184" s="223"/>
      <c r="AF184" s="10"/>
      <c r="AG184" s="10"/>
      <c r="AH184" s="10"/>
    </row>
    <row r="185" spans="1:34" ht="16.149999999999999" customHeight="1" x14ac:dyDescent="0.2">
      <c r="A185" s="234"/>
      <c r="Y185" s="10"/>
      <c r="Z185" s="10"/>
      <c r="AA185" s="10"/>
      <c r="AB185" s="10"/>
      <c r="AC185" s="10"/>
      <c r="AD185" s="10"/>
      <c r="AE185" s="223"/>
      <c r="AF185" s="10"/>
      <c r="AG185" s="10"/>
      <c r="AH185" s="10"/>
    </row>
    <row r="186" spans="1:34" ht="16.149999999999999" customHeight="1" x14ac:dyDescent="0.2">
      <c r="A186" s="234"/>
      <c r="Y186" s="10"/>
      <c r="Z186" s="10"/>
      <c r="AA186" s="10"/>
      <c r="AB186" s="10"/>
      <c r="AC186" s="10"/>
      <c r="AD186" s="10"/>
      <c r="AE186" s="223"/>
      <c r="AF186" s="10"/>
      <c r="AG186" s="10"/>
      <c r="AH186" s="10"/>
    </row>
    <row r="187" spans="1:34" ht="16.149999999999999" customHeight="1" x14ac:dyDescent="0.2">
      <c r="A187" s="234"/>
      <c r="Y187" s="10"/>
      <c r="Z187" s="10"/>
      <c r="AA187" s="10"/>
      <c r="AB187" s="10"/>
      <c r="AC187" s="10"/>
      <c r="AD187" s="10"/>
      <c r="AE187" s="223"/>
      <c r="AF187" s="10"/>
      <c r="AG187" s="10"/>
      <c r="AH187" s="10"/>
    </row>
    <row r="188" spans="1:34" ht="16.149999999999999" customHeight="1" x14ac:dyDescent="0.2">
      <c r="A188" s="234"/>
      <c r="Y188" s="10"/>
      <c r="Z188" s="10"/>
      <c r="AA188" s="10"/>
      <c r="AB188" s="10"/>
      <c r="AC188" s="10"/>
      <c r="AD188" s="10"/>
      <c r="AE188" s="223"/>
      <c r="AF188" s="10"/>
      <c r="AG188" s="10"/>
      <c r="AH188" s="10"/>
    </row>
    <row r="189" spans="1:34" ht="16.149999999999999" customHeight="1" x14ac:dyDescent="0.2">
      <c r="A189" s="234"/>
      <c r="Y189" s="10"/>
      <c r="Z189" s="10"/>
      <c r="AA189" s="10"/>
      <c r="AB189" s="10"/>
      <c r="AC189" s="10"/>
      <c r="AD189" s="10"/>
      <c r="AE189" s="223"/>
      <c r="AF189" s="10"/>
      <c r="AG189" s="10"/>
      <c r="AH189" s="10"/>
    </row>
    <row r="190" spans="1:34" ht="16.149999999999999" customHeight="1" x14ac:dyDescent="0.2">
      <c r="A190" s="234"/>
      <c r="Y190" s="10"/>
      <c r="Z190" s="10"/>
      <c r="AA190" s="10"/>
      <c r="AB190" s="10"/>
      <c r="AC190" s="10"/>
      <c r="AD190" s="10"/>
      <c r="AE190" s="223"/>
      <c r="AF190" s="10"/>
      <c r="AG190" s="10"/>
      <c r="AH190" s="10"/>
    </row>
    <row r="191" spans="1:34" ht="16.149999999999999" customHeight="1" x14ac:dyDescent="0.2">
      <c r="A191" s="234"/>
      <c r="Y191" s="10"/>
      <c r="Z191" s="10"/>
      <c r="AA191" s="10"/>
      <c r="AB191" s="10"/>
      <c r="AC191" s="10"/>
      <c r="AD191" s="10"/>
      <c r="AE191" s="223"/>
      <c r="AF191" s="10"/>
      <c r="AG191" s="10"/>
      <c r="AH191" s="10"/>
    </row>
    <row r="192" spans="1:34" ht="16.149999999999999" customHeight="1" x14ac:dyDescent="0.2">
      <c r="A192" s="234"/>
      <c r="Y192" s="10"/>
      <c r="Z192" s="10"/>
      <c r="AA192" s="10"/>
      <c r="AB192" s="10"/>
      <c r="AC192" s="10"/>
      <c r="AD192" s="10"/>
      <c r="AE192" s="223"/>
      <c r="AF192" s="10"/>
      <c r="AG192" s="10"/>
      <c r="AH192" s="10"/>
    </row>
    <row r="193" spans="1:34" ht="16.149999999999999" customHeight="1" x14ac:dyDescent="0.2">
      <c r="A193" s="234"/>
      <c r="Y193" s="10"/>
      <c r="Z193" s="10"/>
      <c r="AA193" s="10"/>
      <c r="AB193" s="10"/>
      <c r="AC193" s="10"/>
      <c r="AD193" s="10"/>
      <c r="AE193" s="223"/>
      <c r="AF193" s="10"/>
      <c r="AG193" s="10"/>
      <c r="AH193" s="10"/>
    </row>
    <row r="194" spans="1:34" ht="16.149999999999999" customHeight="1" x14ac:dyDescent="0.2">
      <c r="A194" s="234"/>
      <c r="Y194" s="10"/>
      <c r="Z194" s="10"/>
      <c r="AA194" s="10"/>
      <c r="AB194" s="10"/>
      <c r="AC194" s="10"/>
      <c r="AD194" s="10"/>
      <c r="AE194" s="223"/>
      <c r="AF194" s="10"/>
      <c r="AG194" s="10"/>
      <c r="AH194" s="10"/>
    </row>
    <row r="195" spans="1:34" ht="16.149999999999999" customHeight="1" x14ac:dyDescent="0.2">
      <c r="A195" s="234"/>
      <c r="Y195" s="10"/>
      <c r="Z195" s="10"/>
      <c r="AA195" s="10"/>
      <c r="AB195" s="10"/>
      <c r="AC195" s="10"/>
      <c r="AD195" s="10"/>
      <c r="AE195" s="223"/>
      <c r="AF195" s="10"/>
      <c r="AG195" s="10"/>
      <c r="AH195" s="10"/>
    </row>
    <row r="196" spans="1:34" ht="16.149999999999999" customHeight="1" x14ac:dyDescent="0.2">
      <c r="A196" s="234"/>
      <c r="Y196" s="10"/>
      <c r="Z196" s="10"/>
      <c r="AA196" s="10"/>
      <c r="AB196" s="10"/>
      <c r="AC196" s="10"/>
      <c r="AD196" s="10"/>
      <c r="AE196" s="223"/>
      <c r="AF196" s="10"/>
      <c r="AG196" s="10"/>
      <c r="AH196" s="10"/>
    </row>
    <row r="197" spans="1:34" ht="16.149999999999999" customHeight="1" x14ac:dyDescent="0.2">
      <c r="A197" s="234"/>
      <c r="Y197" s="10"/>
      <c r="Z197" s="10"/>
      <c r="AA197" s="10"/>
      <c r="AB197" s="10"/>
      <c r="AC197" s="10"/>
      <c r="AD197" s="10"/>
      <c r="AE197" s="223"/>
      <c r="AF197" s="10"/>
      <c r="AG197" s="10"/>
      <c r="AH197" s="10"/>
    </row>
    <row r="198" spans="1:34" ht="16.149999999999999" customHeight="1" x14ac:dyDescent="0.2">
      <c r="A198" s="234"/>
      <c r="Y198" s="10"/>
      <c r="Z198" s="10"/>
      <c r="AA198" s="10"/>
      <c r="AB198" s="10"/>
      <c r="AC198" s="10"/>
      <c r="AD198" s="10"/>
      <c r="AE198" s="223"/>
      <c r="AF198" s="10"/>
      <c r="AG198" s="10"/>
      <c r="AH198" s="10"/>
    </row>
    <row r="199" spans="1:34" ht="16.149999999999999" customHeight="1" x14ac:dyDescent="0.2">
      <c r="A199" s="234"/>
      <c r="Y199" s="10"/>
      <c r="Z199" s="10"/>
      <c r="AA199" s="10"/>
      <c r="AB199" s="10"/>
      <c r="AC199" s="10"/>
      <c r="AD199" s="10"/>
      <c r="AE199" s="223"/>
      <c r="AF199" s="10"/>
      <c r="AG199" s="10"/>
      <c r="AH199" s="10"/>
    </row>
    <row r="200" spans="1:34" ht="16.149999999999999" customHeight="1" x14ac:dyDescent="0.2">
      <c r="A200" s="234"/>
      <c r="Y200" s="10"/>
      <c r="Z200" s="10"/>
      <c r="AA200" s="10"/>
      <c r="AB200" s="10"/>
      <c r="AC200" s="10"/>
      <c r="AD200" s="10"/>
      <c r="AE200" s="223"/>
      <c r="AF200" s="10"/>
      <c r="AG200" s="10"/>
      <c r="AH200" s="10"/>
    </row>
    <row r="201" spans="1:34" ht="16.149999999999999" customHeight="1" x14ac:dyDescent="0.2">
      <c r="A201" s="234"/>
      <c r="Y201" s="10"/>
      <c r="Z201" s="10"/>
      <c r="AA201" s="10"/>
      <c r="AB201" s="10"/>
      <c r="AC201" s="10"/>
      <c r="AD201" s="10"/>
      <c r="AE201" s="223"/>
      <c r="AF201" s="10"/>
      <c r="AG201" s="10"/>
      <c r="AH201" s="10"/>
    </row>
    <row r="202" spans="1:34" ht="16.149999999999999" customHeight="1" x14ac:dyDescent="0.2">
      <c r="A202" s="234"/>
      <c r="Y202" s="10"/>
      <c r="Z202" s="10"/>
      <c r="AA202" s="10"/>
      <c r="AB202" s="10"/>
      <c r="AC202" s="10"/>
      <c r="AD202" s="10"/>
      <c r="AE202" s="223"/>
      <c r="AF202" s="10"/>
      <c r="AG202" s="10"/>
      <c r="AH202" s="10"/>
    </row>
    <row r="203" spans="1:34" ht="16.149999999999999" customHeight="1" x14ac:dyDescent="0.2">
      <c r="A203" s="234"/>
      <c r="Y203" s="10"/>
      <c r="Z203" s="10"/>
      <c r="AA203" s="10"/>
      <c r="AB203" s="10"/>
      <c r="AC203" s="10"/>
      <c r="AD203" s="10"/>
      <c r="AE203" s="223"/>
      <c r="AF203" s="10"/>
      <c r="AG203" s="10"/>
      <c r="AH203" s="10"/>
    </row>
    <row r="204" spans="1:34" ht="16.149999999999999" customHeight="1" x14ac:dyDescent="0.2">
      <c r="A204" s="234"/>
      <c r="Y204" s="10"/>
      <c r="Z204" s="10"/>
      <c r="AA204" s="10"/>
      <c r="AB204" s="10"/>
      <c r="AC204" s="10"/>
      <c r="AD204" s="10"/>
      <c r="AE204" s="223"/>
      <c r="AF204" s="10"/>
      <c r="AG204" s="10"/>
      <c r="AH204" s="10"/>
    </row>
    <row r="205" spans="1:34" ht="16.149999999999999" customHeight="1" x14ac:dyDescent="0.2">
      <c r="A205" s="234"/>
      <c r="Y205" s="10"/>
      <c r="Z205" s="10"/>
      <c r="AA205" s="10"/>
      <c r="AB205" s="10"/>
      <c r="AC205" s="10"/>
      <c r="AD205" s="10"/>
      <c r="AE205" s="223"/>
      <c r="AF205" s="10"/>
      <c r="AG205" s="10"/>
      <c r="AH205" s="10"/>
    </row>
    <row r="206" spans="1:34" ht="16.149999999999999" customHeight="1" x14ac:dyDescent="0.2">
      <c r="A206" s="234"/>
      <c r="Y206" s="10"/>
      <c r="Z206" s="10"/>
      <c r="AA206" s="10"/>
      <c r="AB206" s="10"/>
      <c r="AC206" s="10"/>
      <c r="AD206" s="10"/>
      <c r="AE206" s="223"/>
      <c r="AF206" s="10"/>
      <c r="AG206" s="10"/>
      <c r="AH206" s="10"/>
    </row>
    <row r="207" spans="1:34" ht="16.149999999999999" customHeight="1" x14ac:dyDescent="0.2">
      <c r="A207" s="234"/>
      <c r="Y207" s="10"/>
      <c r="Z207" s="10"/>
      <c r="AA207" s="10"/>
      <c r="AB207" s="10"/>
      <c r="AC207" s="10"/>
      <c r="AD207" s="10"/>
      <c r="AE207" s="223"/>
      <c r="AF207" s="10"/>
      <c r="AG207" s="10"/>
      <c r="AH207" s="10"/>
    </row>
    <row r="208" spans="1:34" ht="16.149999999999999" customHeight="1" x14ac:dyDescent="0.2">
      <c r="A208" s="234"/>
      <c r="Y208" s="10"/>
      <c r="Z208" s="10"/>
      <c r="AA208" s="10"/>
      <c r="AB208" s="10"/>
      <c r="AC208" s="10"/>
      <c r="AD208" s="10"/>
      <c r="AE208" s="223"/>
      <c r="AF208" s="10"/>
      <c r="AG208" s="10"/>
      <c r="AH208" s="10"/>
    </row>
    <row r="209" spans="1:34" ht="16.149999999999999" customHeight="1" x14ac:dyDescent="0.2">
      <c r="A209" s="234"/>
      <c r="Y209" s="10"/>
      <c r="Z209" s="10"/>
      <c r="AA209" s="10"/>
      <c r="AB209" s="10"/>
      <c r="AC209" s="10"/>
      <c r="AD209" s="10"/>
      <c r="AE209" s="223"/>
      <c r="AF209" s="10"/>
      <c r="AG209" s="10"/>
      <c r="AH209" s="10"/>
    </row>
    <row r="210" spans="1:34" ht="16.149999999999999" customHeight="1" x14ac:dyDescent="0.2">
      <c r="A210" s="234"/>
      <c r="Y210" s="10"/>
      <c r="Z210" s="10"/>
      <c r="AA210" s="10"/>
      <c r="AB210" s="10"/>
      <c r="AC210" s="10"/>
      <c r="AD210" s="10"/>
      <c r="AE210" s="223"/>
      <c r="AF210" s="10"/>
      <c r="AG210" s="10"/>
      <c r="AH210" s="10"/>
    </row>
    <row r="211" spans="1:34" ht="16.149999999999999" customHeight="1" x14ac:dyDescent="0.2">
      <c r="A211" s="234"/>
      <c r="Y211" s="10"/>
      <c r="Z211" s="10"/>
      <c r="AA211" s="10"/>
      <c r="AB211" s="10"/>
      <c r="AC211" s="10"/>
      <c r="AD211" s="10"/>
      <c r="AE211" s="223"/>
      <c r="AF211" s="10"/>
      <c r="AG211" s="10"/>
      <c r="AH211" s="10"/>
    </row>
    <row r="212" spans="1:34" ht="16.149999999999999" customHeight="1" x14ac:dyDescent="0.2">
      <c r="A212" s="234"/>
      <c r="Y212" s="10"/>
      <c r="Z212" s="10"/>
      <c r="AA212" s="10"/>
      <c r="AB212" s="10"/>
      <c r="AC212" s="10"/>
      <c r="AD212" s="10"/>
      <c r="AE212" s="223"/>
      <c r="AF212" s="10"/>
      <c r="AG212" s="10"/>
      <c r="AH212" s="10"/>
    </row>
    <row r="213" spans="1:34" ht="16.149999999999999" customHeight="1" x14ac:dyDescent="0.2">
      <c r="A213" s="234"/>
      <c r="Y213" s="10"/>
      <c r="Z213" s="10"/>
      <c r="AA213" s="10"/>
      <c r="AB213" s="10"/>
      <c r="AC213" s="10"/>
      <c r="AD213" s="10"/>
      <c r="AE213" s="223"/>
      <c r="AF213" s="10"/>
      <c r="AG213" s="10"/>
      <c r="AH213" s="10"/>
    </row>
    <row r="214" spans="1:34" ht="16.149999999999999" customHeight="1" x14ac:dyDescent="0.2">
      <c r="A214" s="234"/>
      <c r="Y214" s="10"/>
      <c r="Z214" s="10"/>
      <c r="AA214" s="10"/>
      <c r="AB214" s="10"/>
      <c r="AC214" s="10"/>
      <c r="AD214" s="10"/>
      <c r="AE214" s="223"/>
      <c r="AF214" s="10"/>
      <c r="AG214" s="10"/>
      <c r="AH214" s="10"/>
    </row>
    <row r="215" spans="1:34" ht="16.149999999999999" customHeight="1" x14ac:dyDescent="0.2">
      <c r="A215" s="234"/>
      <c r="Y215" s="10"/>
      <c r="Z215" s="10"/>
      <c r="AA215" s="10"/>
      <c r="AB215" s="10"/>
      <c r="AC215" s="10"/>
      <c r="AD215" s="10"/>
      <c r="AE215" s="223"/>
      <c r="AF215" s="10"/>
      <c r="AG215" s="10"/>
      <c r="AH215" s="10"/>
    </row>
    <row r="216" spans="1:34" ht="16.149999999999999" customHeight="1" x14ac:dyDescent="0.2">
      <c r="A216" s="234"/>
      <c r="Y216" s="10"/>
      <c r="Z216" s="10"/>
      <c r="AA216" s="10"/>
      <c r="AB216" s="10"/>
      <c r="AC216" s="10"/>
      <c r="AD216" s="10"/>
      <c r="AE216" s="223"/>
      <c r="AF216" s="10"/>
      <c r="AG216" s="10"/>
      <c r="AH216" s="10"/>
    </row>
    <row r="217" spans="1:34" ht="16.149999999999999" customHeight="1" x14ac:dyDescent="0.2">
      <c r="A217" s="234"/>
      <c r="Y217" s="10"/>
      <c r="Z217" s="10"/>
      <c r="AA217" s="10"/>
      <c r="AB217" s="10"/>
      <c r="AC217" s="10"/>
      <c r="AD217" s="10"/>
      <c r="AE217" s="223"/>
      <c r="AF217" s="10"/>
      <c r="AG217" s="10"/>
      <c r="AH217" s="10"/>
    </row>
    <row r="218" spans="1:34" ht="16.149999999999999" customHeight="1" x14ac:dyDescent="0.2">
      <c r="A218" s="234"/>
      <c r="Y218" s="10"/>
      <c r="Z218" s="10"/>
      <c r="AA218" s="10"/>
      <c r="AB218" s="10"/>
      <c r="AC218" s="10"/>
      <c r="AD218" s="10"/>
      <c r="AE218" s="223"/>
      <c r="AF218" s="10"/>
      <c r="AG218" s="10"/>
      <c r="AH218" s="10"/>
    </row>
    <row r="219" spans="1:34" ht="16.149999999999999" customHeight="1" x14ac:dyDescent="0.2">
      <c r="A219" s="234"/>
      <c r="Y219" s="10"/>
      <c r="Z219" s="10"/>
      <c r="AA219" s="10"/>
      <c r="AB219" s="10"/>
      <c r="AC219" s="10"/>
      <c r="AD219" s="10"/>
      <c r="AE219" s="223"/>
      <c r="AF219" s="10"/>
      <c r="AG219" s="10"/>
      <c r="AH219" s="10"/>
    </row>
    <row r="220" spans="1:34" ht="16.149999999999999" customHeight="1" x14ac:dyDescent="0.2">
      <c r="A220" s="234"/>
      <c r="Y220" s="10"/>
      <c r="Z220" s="10"/>
      <c r="AA220" s="10"/>
      <c r="AB220" s="10"/>
      <c r="AC220" s="10"/>
      <c r="AD220" s="10"/>
      <c r="AE220" s="223"/>
      <c r="AF220" s="10"/>
      <c r="AG220" s="10"/>
      <c r="AH220" s="10"/>
    </row>
    <row r="221" spans="1:34" ht="16.149999999999999" customHeight="1" x14ac:dyDescent="0.2">
      <c r="A221" s="234"/>
      <c r="Y221" s="10"/>
      <c r="Z221" s="10"/>
      <c r="AA221" s="10"/>
      <c r="AB221" s="10"/>
      <c r="AC221" s="10"/>
      <c r="AD221" s="10"/>
      <c r="AE221" s="223"/>
      <c r="AF221" s="10"/>
      <c r="AG221" s="10"/>
      <c r="AH221" s="10"/>
    </row>
    <row r="222" spans="1:34" ht="16.149999999999999" customHeight="1" x14ac:dyDescent="0.2">
      <c r="A222" s="234"/>
      <c r="Y222" s="10"/>
      <c r="Z222" s="10"/>
      <c r="AA222" s="10"/>
      <c r="AB222" s="10"/>
      <c r="AC222" s="10"/>
      <c r="AD222" s="10"/>
      <c r="AE222" s="223"/>
      <c r="AF222" s="10"/>
      <c r="AG222" s="10"/>
      <c r="AH222" s="10"/>
    </row>
    <row r="223" spans="1:34" ht="16.149999999999999" customHeight="1" x14ac:dyDescent="0.2">
      <c r="A223" s="234"/>
      <c r="Y223" s="10"/>
      <c r="Z223" s="10"/>
      <c r="AA223" s="10"/>
      <c r="AB223" s="10"/>
      <c r="AC223" s="10"/>
      <c r="AD223" s="10"/>
      <c r="AE223" s="223"/>
      <c r="AF223" s="10"/>
      <c r="AG223" s="10"/>
      <c r="AH223" s="10"/>
    </row>
    <row r="224" spans="1:34" ht="16.149999999999999" customHeight="1" x14ac:dyDescent="0.2">
      <c r="A224" s="234"/>
      <c r="Y224" s="10"/>
      <c r="Z224" s="10"/>
      <c r="AA224" s="10"/>
      <c r="AB224" s="10"/>
      <c r="AC224" s="10"/>
      <c r="AD224" s="10"/>
      <c r="AE224" s="223"/>
      <c r="AF224" s="10"/>
      <c r="AG224" s="10"/>
      <c r="AH224" s="10"/>
    </row>
    <row r="225" spans="1:34" ht="16.149999999999999" customHeight="1" x14ac:dyDescent="0.2">
      <c r="A225" s="234"/>
      <c r="Y225" s="10"/>
      <c r="Z225" s="10"/>
      <c r="AA225" s="10"/>
      <c r="AB225" s="10"/>
      <c r="AC225" s="10"/>
      <c r="AD225" s="10"/>
      <c r="AE225" s="223"/>
      <c r="AF225" s="10"/>
      <c r="AG225" s="10"/>
      <c r="AH225" s="10"/>
    </row>
    <row r="226" spans="1:34" ht="16.149999999999999" customHeight="1" x14ac:dyDescent="0.2">
      <c r="A226" s="234"/>
      <c r="Y226" s="10"/>
      <c r="Z226" s="10"/>
      <c r="AA226" s="10"/>
      <c r="AB226" s="10"/>
      <c r="AC226" s="10"/>
      <c r="AD226" s="10"/>
      <c r="AE226" s="223"/>
      <c r="AF226" s="10"/>
      <c r="AG226" s="10"/>
      <c r="AH226" s="10"/>
    </row>
    <row r="227" spans="1:34" ht="16.149999999999999" customHeight="1" x14ac:dyDescent="0.2">
      <c r="A227" s="234"/>
      <c r="Y227" s="10"/>
      <c r="Z227" s="10"/>
      <c r="AA227" s="10"/>
      <c r="AB227" s="10"/>
      <c r="AC227" s="10"/>
      <c r="AD227" s="10"/>
      <c r="AE227" s="223"/>
      <c r="AF227" s="10"/>
      <c r="AG227" s="10"/>
      <c r="AH227" s="10"/>
    </row>
    <row r="228" spans="1:34" ht="16.149999999999999" customHeight="1" x14ac:dyDescent="0.2">
      <c r="A228" s="234"/>
      <c r="Y228" s="10"/>
      <c r="Z228" s="10"/>
      <c r="AA228" s="10"/>
      <c r="AB228" s="10"/>
      <c r="AC228" s="10"/>
      <c r="AD228" s="10"/>
      <c r="AE228" s="223"/>
      <c r="AF228" s="10"/>
      <c r="AG228" s="10"/>
      <c r="AH228" s="10"/>
    </row>
    <row r="229" spans="1:34" ht="16.149999999999999" customHeight="1" x14ac:dyDescent="0.2">
      <c r="A229" s="234"/>
      <c r="Y229" s="10"/>
      <c r="Z229" s="10"/>
      <c r="AA229" s="10"/>
      <c r="AB229" s="10"/>
      <c r="AC229" s="10"/>
      <c r="AD229" s="10"/>
      <c r="AE229" s="223"/>
      <c r="AF229" s="10"/>
      <c r="AG229" s="10"/>
      <c r="AH229" s="10"/>
    </row>
    <row r="230" spans="1:34" ht="16.149999999999999" customHeight="1" x14ac:dyDescent="0.2">
      <c r="A230" s="234"/>
      <c r="Y230" s="10"/>
      <c r="Z230" s="10"/>
      <c r="AA230" s="10"/>
      <c r="AB230" s="10"/>
      <c r="AC230" s="10"/>
      <c r="AD230" s="10"/>
      <c r="AE230" s="223"/>
      <c r="AF230" s="10"/>
      <c r="AG230" s="10"/>
      <c r="AH230" s="10"/>
    </row>
    <row r="231" spans="1:34" ht="16.149999999999999" customHeight="1" x14ac:dyDescent="0.2">
      <c r="A231" s="234"/>
      <c r="Y231" s="10"/>
      <c r="Z231" s="10"/>
      <c r="AA231" s="10"/>
      <c r="AB231" s="10"/>
      <c r="AC231" s="10"/>
      <c r="AD231" s="10"/>
      <c r="AE231" s="223"/>
      <c r="AF231" s="10"/>
      <c r="AG231" s="10"/>
      <c r="AH231" s="10"/>
    </row>
    <row r="232" spans="1:34" ht="16.149999999999999" customHeight="1" x14ac:dyDescent="0.2">
      <c r="A232" s="234"/>
      <c r="Y232" s="10"/>
      <c r="Z232" s="10"/>
      <c r="AA232" s="10"/>
      <c r="AB232" s="10"/>
      <c r="AC232" s="10"/>
      <c r="AD232" s="10"/>
      <c r="AE232" s="223"/>
      <c r="AF232" s="10"/>
      <c r="AG232" s="10"/>
      <c r="AH232" s="10"/>
    </row>
    <row r="233" spans="1:34" ht="16.149999999999999" customHeight="1" x14ac:dyDescent="0.2">
      <c r="A233" s="234"/>
      <c r="Y233" s="10"/>
      <c r="Z233" s="10"/>
      <c r="AA233" s="10"/>
      <c r="AB233" s="10"/>
      <c r="AC233" s="10"/>
      <c r="AD233" s="10"/>
      <c r="AE233" s="223"/>
      <c r="AF233" s="10"/>
      <c r="AG233" s="10"/>
      <c r="AH233" s="10"/>
    </row>
    <row r="234" spans="1:34" ht="16.149999999999999" customHeight="1" x14ac:dyDescent="0.2">
      <c r="A234" s="234"/>
      <c r="Y234" s="10"/>
      <c r="Z234" s="10"/>
      <c r="AA234" s="10"/>
      <c r="AB234" s="10"/>
      <c r="AC234" s="10"/>
      <c r="AD234" s="10"/>
      <c r="AE234" s="223"/>
      <c r="AF234" s="10"/>
      <c r="AG234" s="10"/>
      <c r="AH234" s="10"/>
    </row>
    <row r="235" spans="1:34" ht="16.149999999999999" customHeight="1" x14ac:dyDescent="0.2">
      <c r="A235" s="234"/>
      <c r="Y235" s="10"/>
      <c r="Z235" s="10"/>
      <c r="AA235" s="10"/>
      <c r="AB235" s="10"/>
      <c r="AC235" s="10"/>
      <c r="AD235" s="10"/>
      <c r="AE235" s="223"/>
      <c r="AF235" s="10"/>
      <c r="AG235" s="10"/>
      <c r="AH235" s="10"/>
    </row>
    <row r="236" spans="1:34" ht="16.149999999999999" customHeight="1" x14ac:dyDescent="0.2">
      <c r="A236" s="234"/>
      <c r="Y236" s="10"/>
      <c r="Z236" s="10"/>
      <c r="AA236" s="10"/>
      <c r="AB236" s="10"/>
      <c r="AC236" s="10"/>
      <c r="AD236" s="10"/>
      <c r="AE236" s="223"/>
      <c r="AF236" s="10"/>
      <c r="AG236" s="10"/>
      <c r="AH236" s="10"/>
    </row>
    <row r="237" spans="1:34" ht="16.149999999999999" customHeight="1" x14ac:dyDescent="0.2">
      <c r="A237" s="234"/>
      <c r="Y237" s="10"/>
      <c r="Z237" s="10"/>
      <c r="AA237" s="10"/>
      <c r="AB237" s="10"/>
      <c r="AC237" s="10"/>
      <c r="AD237" s="10"/>
      <c r="AE237" s="223"/>
      <c r="AF237" s="10"/>
      <c r="AG237" s="10"/>
      <c r="AH237" s="10"/>
    </row>
    <row r="238" spans="1:34" ht="16.149999999999999" customHeight="1" x14ac:dyDescent="0.2">
      <c r="A238" s="234"/>
      <c r="Y238" s="10"/>
      <c r="Z238" s="10"/>
      <c r="AA238" s="10"/>
      <c r="AB238" s="10"/>
      <c r="AC238" s="10"/>
      <c r="AD238" s="10"/>
      <c r="AE238" s="223"/>
      <c r="AF238" s="10"/>
      <c r="AG238" s="10"/>
      <c r="AH238" s="10"/>
    </row>
    <row r="239" spans="1:34" ht="16.149999999999999" customHeight="1" x14ac:dyDescent="0.2">
      <c r="A239" s="234"/>
      <c r="Y239" s="10"/>
      <c r="Z239" s="10"/>
      <c r="AA239" s="10"/>
      <c r="AB239" s="10"/>
      <c r="AC239" s="10"/>
      <c r="AD239" s="10"/>
      <c r="AE239" s="223"/>
      <c r="AF239" s="10"/>
      <c r="AG239" s="10"/>
      <c r="AH239" s="10"/>
    </row>
    <row r="240" spans="1:34" ht="16.149999999999999" customHeight="1" x14ac:dyDescent="0.2">
      <c r="A240" s="234"/>
      <c r="Y240" s="10"/>
      <c r="Z240" s="10"/>
      <c r="AA240" s="10"/>
      <c r="AB240" s="10"/>
      <c r="AC240" s="10"/>
      <c r="AD240" s="10"/>
      <c r="AE240" s="223"/>
      <c r="AF240" s="10"/>
      <c r="AG240" s="10"/>
      <c r="AH240" s="10"/>
    </row>
    <row r="241" spans="1:34" ht="16.149999999999999" customHeight="1" x14ac:dyDescent="0.2">
      <c r="A241" s="234"/>
      <c r="Y241" s="10"/>
      <c r="Z241" s="10"/>
      <c r="AA241" s="10"/>
      <c r="AB241" s="10"/>
      <c r="AC241" s="10"/>
      <c r="AD241" s="10"/>
      <c r="AE241" s="223"/>
      <c r="AF241" s="10"/>
      <c r="AG241" s="10"/>
      <c r="AH241" s="10"/>
    </row>
    <row r="242" spans="1:34" ht="16.149999999999999" customHeight="1" x14ac:dyDescent="0.2">
      <c r="A242" s="234"/>
      <c r="Y242" s="10"/>
      <c r="Z242" s="10"/>
      <c r="AA242" s="10"/>
      <c r="AB242" s="10"/>
      <c r="AC242" s="10"/>
      <c r="AD242" s="10"/>
      <c r="AE242" s="223"/>
      <c r="AF242" s="10"/>
      <c r="AG242" s="10"/>
      <c r="AH242" s="10"/>
    </row>
    <row r="243" spans="1:34" ht="16.149999999999999" customHeight="1" x14ac:dyDescent="0.2">
      <c r="A243" s="234"/>
      <c r="Y243" s="10"/>
      <c r="Z243" s="10"/>
      <c r="AA243" s="10"/>
      <c r="AB243" s="10"/>
      <c r="AC243" s="10"/>
      <c r="AD243" s="10"/>
      <c r="AE243" s="223"/>
      <c r="AF243" s="10"/>
      <c r="AG243" s="10"/>
      <c r="AH243" s="10"/>
    </row>
    <row r="244" spans="1:34" ht="16.149999999999999" customHeight="1" x14ac:dyDescent="0.2">
      <c r="A244" s="234"/>
      <c r="Y244" s="10"/>
      <c r="Z244" s="10"/>
      <c r="AA244" s="10"/>
      <c r="AB244" s="10"/>
      <c r="AC244" s="10"/>
      <c r="AD244" s="10"/>
      <c r="AE244" s="223"/>
      <c r="AF244" s="10"/>
      <c r="AG244" s="10"/>
      <c r="AH244" s="10"/>
    </row>
    <row r="245" spans="1:34" ht="16.149999999999999" customHeight="1" x14ac:dyDescent="0.2">
      <c r="A245" s="234"/>
      <c r="Y245" s="10"/>
      <c r="Z245" s="10"/>
      <c r="AA245" s="10"/>
      <c r="AB245" s="10"/>
      <c r="AC245" s="10"/>
      <c r="AD245" s="10"/>
      <c r="AE245" s="223"/>
      <c r="AF245" s="10"/>
      <c r="AG245" s="10"/>
      <c r="AH245" s="10"/>
    </row>
    <row r="246" spans="1:34" ht="16.149999999999999" customHeight="1" x14ac:dyDescent="0.2">
      <c r="A246" s="234"/>
      <c r="Y246" s="10"/>
      <c r="Z246" s="10"/>
      <c r="AA246" s="10"/>
      <c r="AB246" s="10"/>
      <c r="AC246" s="10"/>
      <c r="AD246" s="10"/>
      <c r="AE246" s="223"/>
      <c r="AF246" s="10"/>
      <c r="AG246" s="10"/>
      <c r="AH246" s="10"/>
    </row>
    <row r="247" spans="1:34" ht="16.149999999999999" customHeight="1" x14ac:dyDescent="0.2">
      <c r="A247" s="234"/>
      <c r="Y247" s="10"/>
      <c r="Z247" s="10"/>
      <c r="AA247" s="10"/>
      <c r="AB247" s="10"/>
      <c r="AC247" s="10"/>
      <c r="AD247" s="10"/>
      <c r="AE247" s="223"/>
      <c r="AF247" s="10"/>
      <c r="AG247" s="10"/>
      <c r="AH247" s="10"/>
    </row>
    <row r="248" spans="1:34" ht="16.149999999999999" customHeight="1" x14ac:dyDescent="0.2">
      <c r="A248" s="234"/>
      <c r="Y248" s="10"/>
      <c r="Z248" s="10"/>
      <c r="AA248" s="10"/>
      <c r="AB248" s="10"/>
      <c r="AC248" s="10"/>
      <c r="AD248" s="10"/>
      <c r="AE248" s="223"/>
      <c r="AF248" s="10"/>
      <c r="AG248" s="10"/>
      <c r="AH248" s="10"/>
    </row>
    <row r="249" spans="1:34" ht="16.149999999999999" customHeight="1" x14ac:dyDescent="0.2">
      <c r="A249" s="234"/>
      <c r="Y249" s="10"/>
      <c r="Z249" s="10"/>
      <c r="AA249" s="10"/>
      <c r="AB249" s="10"/>
      <c r="AC249" s="10"/>
      <c r="AD249" s="10"/>
      <c r="AE249" s="223"/>
      <c r="AF249" s="10"/>
      <c r="AG249" s="10"/>
      <c r="AH249" s="10"/>
    </row>
    <row r="250" spans="1:34" ht="16.149999999999999" customHeight="1" x14ac:dyDescent="0.2">
      <c r="A250" s="234"/>
      <c r="Y250" s="10"/>
      <c r="Z250" s="10"/>
      <c r="AA250" s="10"/>
      <c r="AB250" s="10"/>
      <c r="AC250" s="10"/>
      <c r="AD250" s="10"/>
      <c r="AE250" s="223"/>
      <c r="AF250" s="10"/>
      <c r="AG250" s="10"/>
      <c r="AH250" s="10"/>
    </row>
    <row r="251" spans="1:34" ht="16.149999999999999" customHeight="1" x14ac:dyDescent="0.2">
      <c r="A251" s="234"/>
      <c r="Y251" s="10"/>
      <c r="Z251" s="10"/>
      <c r="AA251" s="10"/>
      <c r="AB251" s="10"/>
      <c r="AC251" s="10"/>
      <c r="AD251" s="10"/>
      <c r="AE251" s="223"/>
      <c r="AF251" s="10"/>
      <c r="AG251" s="10"/>
      <c r="AH251" s="10"/>
    </row>
    <row r="252" spans="1:34" ht="16.149999999999999" customHeight="1" x14ac:dyDescent="0.2">
      <c r="A252" s="234"/>
      <c r="Y252" s="10"/>
      <c r="Z252" s="10"/>
      <c r="AA252" s="10"/>
      <c r="AB252" s="10"/>
      <c r="AC252" s="10"/>
      <c r="AD252" s="10"/>
      <c r="AE252" s="223"/>
      <c r="AF252" s="10"/>
      <c r="AG252" s="10"/>
      <c r="AH252" s="10"/>
    </row>
    <row r="253" spans="1:34" ht="16.149999999999999" customHeight="1" x14ac:dyDescent="0.2">
      <c r="A253" s="234"/>
      <c r="Y253" s="10"/>
      <c r="Z253" s="10"/>
      <c r="AA253" s="10"/>
      <c r="AB253" s="10"/>
      <c r="AC253" s="10"/>
      <c r="AD253" s="10"/>
      <c r="AE253" s="223"/>
      <c r="AF253" s="10"/>
      <c r="AG253" s="10"/>
      <c r="AH253" s="10"/>
    </row>
    <row r="254" spans="1:34" ht="16.149999999999999" customHeight="1" x14ac:dyDescent="0.2">
      <c r="A254" s="234"/>
      <c r="Y254" s="10"/>
      <c r="Z254" s="10"/>
      <c r="AA254" s="10"/>
      <c r="AB254" s="10"/>
      <c r="AC254" s="10"/>
      <c r="AD254" s="10"/>
      <c r="AE254" s="223"/>
      <c r="AF254" s="10"/>
      <c r="AG254" s="10"/>
      <c r="AH254" s="10"/>
    </row>
    <row r="255" spans="1:34" ht="16.149999999999999" customHeight="1" x14ac:dyDescent="0.2">
      <c r="A255" s="234"/>
      <c r="Y255" s="10"/>
      <c r="Z255" s="10"/>
      <c r="AA255" s="10"/>
      <c r="AB255" s="10"/>
      <c r="AC255" s="10"/>
      <c r="AD255" s="10"/>
      <c r="AE255" s="223"/>
      <c r="AF255" s="10"/>
      <c r="AG255" s="10"/>
      <c r="AH255" s="10"/>
    </row>
    <row r="256" spans="1:34" ht="16.149999999999999" customHeight="1" x14ac:dyDescent="0.2">
      <c r="A256" s="234"/>
      <c r="Y256" s="10"/>
      <c r="Z256" s="10"/>
      <c r="AA256" s="10"/>
      <c r="AB256" s="10"/>
      <c r="AC256" s="10"/>
      <c r="AD256" s="10"/>
      <c r="AE256" s="223"/>
      <c r="AF256" s="10"/>
      <c r="AG256" s="10"/>
      <c r="AH256" s="10"/>
    </row>
    <row r="257" spans="1:34" ht="16.149999999999999" customHeight="1" x14ac:dyDescent="0.2">
      <c r="A257" s="234"/>
      <c r="Y257" s="10"/>
      <c r="Z257" s="10"/>
      <c r="AA257" s="10"/>
      <c r="AB257" s="10"/>
      <c r="AC257" s="10"/>
      <c r="AD257" s="10"/>
      <c r="AE257" s="223"/>
      <c r="AF257" s="10"/>
      <c r="AG257" s="10"/>
      <c r="AH257" s="10"/>
    </row>
    <row r="258" spans="1:34" ht="16.149999999999999" customHeight="1" x14ac:dyDescent="0.2">
      <c r="A258" s="234"/>
      <c r="Y258" s="10"/>
      <c r="Z258" s="10"/>
      <c r="AA258" s="10"/>
      <c r="AB258" s="10"/>
      <c r="AC258" s="10"/>
      <c r="AD258" s="10"/>
      <c r="AE258" s="223"/>
      <c r="AF258" s="10"/>
      <c r="AG258" s="10"/>
      <c r="AH258" s="10"/>
    </row>
    <row r="259" spans="1:34" ht="16.149999999999999" customHeight="1" x14ac:dyDescent="0.2">
      <c r="A259" s="234"/>
      <c r="Y259" s="10"/>
      <c r="Z259" s="10"/>
      <c r="AA259" s="10"/>
      <c r="AB259" s="10"/>
      <c r="AC259" s="10"/>
      <c r="AD259" s="10"/>
      <c r="AE259" s="223"/>
      <c r="AF259" s="10"/>
      <c r="AG259" s="10"/>
      <c r="AH259" s="10"/>
    </row>
    <row r="260" spans="1:34" ht="16.149999999999999" customHeight="1" x14ac:dyDescent="0.2">
      <c r="A260" s="234"/>
      <c r="Y260" s="10"/>
      <c r="Z260" s="10"/>
      <c r="AA260" s="10"/>
      <c r="AB260" s="10"/>
      <c r="AC260" s="10"/>
      <c r="AD260" s="10"/>
      <c r="AE260" s="223"/>
      <c r="AF260" s="10"/>
      <c r="AG260" s="10"/>
      <c r="AH260" s="10"/>
    </row>
    <row r="261" spans="1:34" ht="16.149999999999999" customHeight="1" x14ac:dyDescent="0.2">
      <c r="A261" s="234"/>
      <c r="Y261" s="10"/>
      <c r="Z261" s="10"/>
      <c r="AA261" s="10"/>
      <c r="AB261" s="10"/>
      <c r="AC261" s="10"/>
      <c r="AD261" s="10"/>
      <c r="AE261" s="223"/>
      <c r="AF261" s="10"/>
      <c r="AG261" s="10"/>
      <c r="AH261" s="10"/>
    </row>
    <row r="262" spans="1:34" ht="16.149999999999999" customHeight="1" x14ac:dyDescent="0.2">
      <c r="A262" s="234"/>
      <c r="Y262" s="10"/>
      <c r="Z262" s="10"/>
      <c r="AA262" s="10"/>
      <c r="AB262" s="10"/>
      <c r="AC262" s="10"/>
      <c r="AD262" s="10"/>
      <c r="AE262" s="223"/>
      <c r="AF262" s="10"/>
      <c r="AG262" s="10"/>
      <c r="AH262" s="10"/>
    </row>
    <row r="263" spans="1:34" ht="16.149999999999999" customHeight="1" x14ac:dyDescent="0.2">
      <c r="A263" s="234"/>
      <c r="Y263" s="10"/>
      <c r="Z263" s="10"/>
      <c r="AA263" s="10"/>
      <c r="AB263" s="10"/>
      <c r="AC263" s="10"/>
      <c r="AD263" s="10"/>
      <c r="AE263" s="223"/>
      <c r="AF263" s="10"/>
      <c r="AG263" s="10"/>
      <c r="AH263" s="10"/>
    </row>
    <row r="264" spans="1:34" ht="16.149999999999999" customHeight="1" x14ac:dyDescent="0.2">
      <c r="A264" s="234"/>
      <c r="Y264" s="10"/>
      <c r="Z264" s="10"/>
      <c r="AA264" s="10"/>
      <c r="AB264" s="10"/>
      <c r="AC264" s="10"/>
      <c r="AD264" s="10"/>
      <c r="AE264" s="223"/>
      <c r="AF264" s="10"/>
      <c r="AG264" s="10"/>
      <c r="AH264" s="10"/>
    </row>
    <row r="265" spans="1:34" ht="16.149999999999999" customHeight="1" x14ac:dyDescent="0.2">
      <c r="A265" s="234"/>
      <c r="Y265" s="10"/>
      <c r="Z265" s="10"/>
      <c r="AA265" s="10"/>
      <c r="AB265" s="10"/>
      <c r="AC265" s="10"/>
      <c r="AD265" s="10"/>
      <c r="AE265" s="223"/>
      <c r="AF265" s="10"/>
      <c r="AG265" s="10"/>
      <c r="AH265" s="10"/>
    </row>
    <row r="266" spans="1:34" ht="16.149999999999999" customHeight="1" x14ac:dyDescent="0.2">
      <c r="A266" s="234"/>
      <c r="Y266" s="10"/>
      <c r="Z266" s="10"/>
      <c r="AA266" s="10"/>
      <c r="AB266" s="10"/>
      <c r="AC266" s="10"/>
      <c r="AD266" s="10"/>
      <c r="AE266" s="223"/>
      <c r="AF266" s="10"/>
      <c r="AG266" s="10"/>
      <c r="AH266" s="10"/>
    </row>
    <row r="267" spans="1:34" ht="16.149999999999999" customHeight="1" x14ac:dyDescent="0.2">
      <c r="A267" s="234"/>
      <c r="Y267" s="10"/>
      <c r="Z267" s="10"/>
      <c r="AA267" s="10"/>
      <c r="AB267" s="10"/>
      <c r="AC267" s="10"/>
      <c r="AD267" s="10"/>
      <c r="AE267" s="223"/>
      <c r="AF267" s="10"/>
      <c r="AG267" s="10"/>
      <c r="AH267" s="10"/>
    </row>
    <row r="268" spans="1:34" ht="16.149999999999999" customHeight="1" x14ac:dyDescent="0.2">
      <c r="A268" s="234"/>
      <c r="Y268" s="10"/>
      <c r="Z268" s="10"/>
      <c r="AA268" s="10"/>
      <c r="AB268" s="10"/>
      <c r="AC268" s="10"/>
      <c r="AD268" s="10"/>
      <c r="AE268" s="223"/>
      <c r="AF268" s="10"/>
      <c r="AG268" s="10"/>
      <c r="AH268" s="10"/>
    </row>
    <row r="269" spans="1:34" ht="16.149999999999999" customHeight="1" x14ac:dyDescent="0.2">
      <c r="A269" s="234"/>
      <c r="Y269" s="10"/>
      <c r="Z269" s="10"/>
      <c r="AA269" s="10"/>
      <c r="AB269" s="10"/>
      <c r="AC269" s="10"/>
      <c r="AD269" s="10"/>
      <c r="AE269" s="223"/>
      <c r="AF269" s="10"/>
      <c r="AG269" s="10"/>
      <c r="AH269" s="10"/>
    </row>
    <row r="270" spans="1:34" ht="16.149999999999999" customHeight="1" x14ac:dyDescent="0.2">
      <c r="A270" s="234"/>
      <c r="Y270" s="10"/>
      <c r="Z270" s="10"/>
      <c r="AA270" s="10"/>
      <c r="AB270" s="10"/>
      <c r="AC270" s="10"/>
      <c r="AD270" s="10"/>
      <c r="AE270" s="223"/>
      <c r="AF270" s="10"/>
      <c r="AG270" s="10"/>
      <c r="AH270" s="10"/>
    </row>
    <row r="271" spans="1:34" ht="16.149999999999999" customHeight="1" x14ac:dyDescent="0.2">
      <c r="A271" s="234"/>
      <c r="Y271" s="10"/>
      <c r="Z271" s="10"/>
      <c r="AA271" s="10"/>
      <c r="AB271" s="10"/>
      <c r="AC271" s="10"/>
      <c r="AD271" s="10"/>
      <c r="AE271" s="223"/>
      <c r="AF271" s="10"/>
      <c r="AG271" s="10"/>
      <c r="AH271" s="10"/>
    </row>
    <row r="272" spans="1:34" ht="16.149999999999999" customHeight="1" x14ac:dyDescent="0.2">
      <c r="A272" s="234"/>
      <c r="Y272" s="10"/>
      <c r="Z272" s="10"/>
      <c r="AA272" s="10"/>
      <c r="AB272" s="10"/>
      <c r="AC272" s="10"/>
      <c r="AD272" s="10"/>
      <c r="AE272" s="223"/>
      <c r="AF272" s="10"/>
      <c r="AG272" s="10"/>
      <c r="AH272" s="10"/>
    </row>
    <row r="273" spans="1:34" ht="16.149999999999999" customHeight="1" x14ac:dyDescent="0.2">
      <c r="A273" s="234"/>
      <c r="Y273" s="10"/>
      <c r="Z273" s="10"/>
      <c r="AA273" s="10"/>
      <c r="AB273" s="10"/>
      <c r="AC273" s="10"/>
      <c r="AD273" s="10"/>
      <c r="AE273" s="223"/>
      <c r="AF273" s="10"/>
      <c r="AG273" s="10"/>
      <c r="AH273" s="10"/>
    </row>
    <row r="274" spans="1:34" ht="16.149999999999999" customHeight="1" x14ac:dyDescent="0.2">
      <c r="A274" s="234"/>
      <c r="Y274" s="10"/>
      <c r="Z274" s="10"/>
      <c r="AA274" s="10"/>
      <c r="AB274" s="10"/>
      <c r="AC274" s="10"/>
      <c r="AD274" s="10"/>
      <c r="AE274" s="223"/>
      <c r="AF274" s="10"/>
      <c r="AG274" s="10"/>
      <c r="AH274" s="10"/>
    </row>
    <row r="275" spans="1:34" ht="16.149999999999999" customHeight="1" x14ac:dyDescent="0.2">
      <c r="A275" s="234"/>
      <c r="Y275" s="10"/>
      <c r="Z275" s="10"/>
      <c r="AA275" s="10"/>
      <c r="AB275" s="10"/>
      <c r="AC275" s="10"/>
      <c r="AD275" s="10"/>
      <c r="AE275" s="223"/>
      <c r="AF275" s="10"/>
      <c r="AG275" s="10"/>
      <c r="AH275" s="10"/>
    </row>
    <row r="276" spans="1:34" ht="16.149999999999999" customHeight="1" x14ac:dyDescent="0.2">
      <c r="A276" s="234"/>
      <c r="Y276" s="10"/>
      <c r="Z276" s="10"/>
      <c r="AA276" s="10"/>
      <c r="AB276" s="10"/>
      <c r="AC276" s="10"/>
      <c r="AD276" s="10"/>
      <c r="AE276" s="223"/>
      <c r="AF276" s="10"/>
      <c r="AG276" s="10"/>
      <c r="AH276" s="10"/>
    </row>
    <row r="277" spans="1:34" ht="16.149999999999999" customHeight="1" x14ac:dyDescent="0.2">
      <c r="A277" s="234"/>
      <c r="Y277" s="10"/>
      <c r="Z277" s="10"/>
      <c r="AA277" s="10"/>
      <c r="AB277" s="10"/>
      <c r="AC277" s="10"/>
      <c r="AD277" s="10"/>
      <c r="AE277" s="223"/>
      <c r="AF277" s="10"/>
      <c r="AG277" s="10"/>
      <c r="AH277" s="10"/>
    </row>
    <row r="278" spans="1:34" ht="16.149999999999999" customHeight="1" x14ac:dyDescent="0.2">
      <c r="A278" s="234"/>
      <c r="Y278" s="10"/>
      <c r="Z278" s="10"/>
      <c r="AA278" s="10"/>
      <c r="AB278" s="10"/>
      <c r="AC278" s="10"/>
      <c r="AD278" s="10"/>
      <c r="AE278" s="223"/>
      <c r="AF278" s="10"/>
      <c r="AG278" s="10"/>
      <c r="AH278" s="10"/>
    </row>
    <row r="279" spans="1:34" ht="16.149999999999999" customHeight="1" x14ac:dyDescent="0.2">
      <c r="A279" s="234"/>
      <c r="Y279" s="10"/>
      <c r="Z279" s="10"/>
      <c r="AA279" s="10"/>
      <c r="AB279" s="10"/>
      <c r="AC279" s="10"/>
      <c r="AD279" s="10"/>
      <c r="AE279" s="223"/>
      <c r="AF279" s="10"/>
      <c r="AG279" s="10"/>
      <c r="AH279" s="10"/>
    </row>
    <row r="280" spans="1:34" ht="16.149999999999999" customHeight="1" x14ac:dyDescent="0.2">
      <c r="A280" s="234"/>
      <c r="Y280" s="10"/>
      <c r="Z280" s="10"/>
      <c r="AA280" s="10"/>
      <c r="AB280" s="10"/>
      <c r="AC280" s="10"/>
      <c r="AD280" s="10"/>
      <c r="AE280" s="223"/>
      <c r="AF280" s="10"/>
      <c r="AG280" s="10"/>
      <c r="AH280" s="10"/>
    </row>
    <row r="281" spans="1:34" ht="16.149999999999999" customHeight="1" x14ac:dyDescent="0.2">
      <c r="A281" s="234"/>
      <c r="Y281" s="10"/>
      <c r="Z281" s="10"/>
      <c r="AA281" s="10"/>
      <c r="AB281" s="10"/>
      <c r="AC281" s="10"/>
      <c r="AD281" s="10"/>
      <c r="AE281" s="223"/>
      <c r="AF281" s="10"/>
      <c r="AG281" s="10"/>
      <c r="AH281" s="10"/>
    </row>
    <row r="282" spans="1:34" ht="16.149999999999999" customHeight="1" x14ac:dyDescent="0.2">
      <c r="A282" s="234"/>
      <c r="Y282" s="10"/>
      <c r="Z282" s="10"/>
      <c r="AA282" s="10"/>
      <c r="AB282" s="10"/>
      <c r="AC282" s="10"/>
      <c r="AD282" s="10"/>
      <c r="AE282" s="223"/>
      <c r="AF282" s="10"/>
      <c r="AG282" s="10"/>
      <c r="AH282" s="10"/>
    </row>
    <row r="283" spans="1:34" ht="16.149999999999999" customHeight="1" x14ac:dyDescent="0.2">
      <c r="A283" s="234"/>
      <c r="Y283" s="10"/>
      <c r="Z283" s="10"/>
      <c r="AA283" s="10"/>
      <c r="AB283" s="10"/>
      <c r="AC283" s="10"/>
      <c r="AD283" s="10"/>
      <c r="AE283" s="223"/>
      <c r="AF283" s="10"/>
      <c r="AG283" s="10"/>
      <c r="AH283" s="10"/>
    </row>
    <row r="284" spans="1:34" ht="16.149999999999999" customHeight="1" x14ac:dyDescent="0.2">
      <c r="A284" s="234"/>
      <c r="Y284" s="10"/>
      <c r="Z284" s="10"/>
      <c r="AA284" s="10"/>
      <c r="AB284" s="10"/>
      <c r="AC284" s="10"/>
      <c r="AD284" s="10"/>
      <c r="AE284" s="223"/>
      <c r="AF284" s="10"/>
      <c r="AG284" s="10"/>
      <c r="AH284" s="10"/>
    </row>
    <row r="285" spans="1:34" ht="16.149999999999999" customHeight="1" x14ac:dyDescent="0.2">
      <c r="A285" s="234"/>
      <c r="Y285" s="10"/>
      <c r="Z285" s="10"/>
      <c r="AA285" s="10"/>
      <c r="AB285" s="10"/>
      <c r="AC285" s="10"/>
      <c r="AD285" s="10"/>
      <c r="AE285" s="223"/>
      <c r="AF285" s="10"/>
      <c r="AG285" s="10"/>
      <c r="AH285" s="10"/>
    </row>
    <row r="286" spans="1:34" ht="16.149999999999999" customHeight="1" x14ac:dyDescent="0.2">
      <c r="A286" s="234"/>
      <c r="Y286" s="10"/>
      <c r="Z286" s="10"/>
      <c r="AA286" s="10"/>
      <c r="AB286" s="10"/>
      <c r="AC286" s="10"/>
      <c r="AD286" s="10"/>
      <c r="AE286" s="223"/>
      <c r="AF286" s="10"/>
      <c r="AG286" s="10"/>
      <c r="AH286" s="10"/>
    </row>
    <row r="287" spans="1:34" ht="16.149999999999999" customHeight="1" x14ac:dyDescent="0.2">
      <c r="A287" s="234"/>
      <c r="Y287" s="10"/>
      <c r="Z287" s="10"/>
      <c r="AA287" s="10"/>
      <c r="AB287" s="10"/>
      <c r="AC287" s="10"/>
      <c r="AD287" s="10"/>
      <c r="AE287" s="223"/>
      <c r="AF287" s="10"/>
      <c r="AG287" s="10"/>
      <c r="AH287" s="10"/>
    </row>
    <row r="288" spans="1:34" ht="16.149999999999999" customHeight="1" x14ac:dyDescent="0.2">
      <c r="A288" s="234"/>
      <c r="Y288" s="10"/>
      <c r="Z288" s="10"/>
      <c r="AA288" s="10"/>
      <c r="AB288" s="10"/>
      <c r="AC288" s="10"/>
      <c r="AD288" s="10"/>
      <c r="AE288" s="223"/>
      <c r="AF288" s="10"/>
      <c r="AG288" s="10"/>
      <c r="AH288" s="10"/>
    </row>
    <row r="289" spans="1:34" ht="16.149999999999999" customHeight="1" x14ac:dyDescent="0.2">
      <c r="A289" s="234"/>
      <c r="Y289" s="10"/>
      <c r="Z289" s="10"/>
      <c r="AA289" s="10"/>
      <c r="AB289" s="10"/>
      <c r="AC289" s="10"/>
      <c r="AD289" s="10"/>
      <c r="AE289" s="223"/>
      <c r="AF289" s="10"/>
      <c r="AG289" s="10"/>
      <c r="AH289" s="10"/>
    </row>
    <row r="290" spans="1:34" ht="16.149999999999999" customHeight="1" x14ac:dyDescent="0.2">
      <c r="A290" s="234"/>
      <c r="Y290" s="10"/>
      <c r="Z290" s="10"/>
      <c r="AA290" s="10"/>
      <c r="AB290" s="10"/>
      <c r="AC290" s="10"/>
      <c r="AD290" s="10"/>
      <c r="AE290" s="223"/>
      <c r="AF290" s="10"/>
      <c r="AG290" s="10"/>
      <c r="AH290" s="10"/>
    </row>
    <row r="291" spans="1:34" ht="16.149999999999999" customHeight="1" x14ac:dyDescent="0.2">
      <c r="A291" s="234"/>
      <c r="Y291" s="10"/>
      <c r="Z291" s="10"/>
      <c r="AA291" s="10"/>
      <c r="AB291" s="10"/>
      <c r="AC291" s="10"/>
      <c r="AD291" s="10"/>
      <c r="AE291" s="223"/>
      <c r="AF291" s="10"/>
      <c r="AG291" s="10"/>
      <c r="AH291" s="10"/>
    </row>
    <row r="292" spans="1:34" ht="16.149999999999999" customHeight="1" x14ac:dyDescent="0.2">
      <c r="A292" s="234"/>
      <c r="Y292" s="10"/>
      <c r="Z292" s="10"/>
      <c r="AA292" s="10"/>
      <c r="AB292" s="10"/>
      <c r="AC292" s="10"/>
      <c r="AD292" s="10"/>
      <c r="AE292" s="223"/>
      <c r="AF292" s="10"/>
      <c r="AG292" s="10"/>
      <c r="AH292" s="10"/>
    </row>
    <row r="293" spans="1:34" ht="16.149999999999999" customHeight="1" x14ac:dyDescent="0.2">
      <c r="A293" s="234"/>
      <c r="Y293" s="10"/>
      <c r="Z293" s="10"/>
      <c r="AA293" s="10"/>
      <c r="AB293" s="10"/>
      <c r="AC293" s="10"/>
      <c r="AD293" s="10"/>
      <c r="AE293" s="223"/>
      <c r="AF293" s="10"/>
      <c r="AG293" s="10"/>
      <c r="AH293" s="10"/>
    </row>
    <row r="294" spans="1:34" ht="16.149999999999999" customHeight="1" x14ac:dyDescent="0.2">
      <c r="A294" s="234"/>
      <c r="Y294" s="10"/>
      <c r="Z294" s="10"/>
      <c r="AA294" s="10"/>
      <c r="AB294" s="10"/>
      <c r="AC294" s="10"/>
      <c r="AD294" s="10"/>
      <c r="AE294" s="223"/>
      <c r="AF294" s="10"/>
      <c r="AG294" s="10"/>
      <c r="AH294" s="10"/>
    </row>
    <row r="295" spans="1:34" ht="16.149999999999999" customHeight="1" x14ac:dyDescent="0.2">
      <c r="A295" s="234"/>
      <c r="Y295" s="10"/>
      <c r="Z295" s="10"/>
      <c r="AA295" s="10"/>
      <c r="AB295" s="10"/>
      <c r="AC295" s="10"/>
      <c r="AD295" s="10"/>
      <c r="AE295" s="223"/>
      <c r="AF295" s="10"/>
      <c r="AG295" s="10"/>
      <c r="AH295" s="10"/>
    </row>
    <row r="296" spans="1:34" ht="16.149999999999999" customHeight="1" x14ac:dyDescent="0.2">
      <c r="A296" s="234"/>
      <c r="Y296" s="10"/>
      <c r="Z296" s="10"/>
      <c r="AA296" s="10"/>
      <c r="AB296" s="10"/>
      <c r="AC296" s="10"/>
      <c r="AD296" s="10"/>
      <c r="AE296" s="223"/>
      <c r="AF296" s="10"/>
      <c r="AG296" s="10"/>
      <c r="AH296" s="10"/>
    </row>
    <row r="297" spans="1:34" ht="16.149999999999999" customHeight="1" x14ac:dyDescent="0.2">
      <c r="A297" s="234"/>
      <c r="Y297" s="10"/>
      <c r="Z297" s="10"/>
      <c r="AA297" s="10"/>
      <c r="AB297" s="10"/>
      <c r="AC297" s="10"/>
      <c r="AD297" s="10"/>
      <c r="AE297" s="223"/>
      <c r="AF297" s="10"/>
      <c r="AG297" s="10"/>
      <c r="AH297" s="10"/>
    </row>
    <row r="298" spans="1:34" ht="16.149999999999999" customHeight="1" x14ac:dyDescent="0.2">
      <c r="A298" s="234"/>
      <c r="Y298" s="10"/>
      <c r="Z298" s="10"/>
      <c r="AA298" s="10"/>
      <c r="AB298" s="10"/>
      <c r="AC298" s="10"/>
      <c r="AD298" s="10"/>
      <c r="AE298" s="223"/>
      <c r="AF298" s="10"/>
      <c r="AG298" s="10"/>
      <c r="AH298" s="10"/>
    </row>
    <row r="299" spans="1:34" ht="16.149999999999999" customHeight="1" x14ac:dyDescent="0.2">
      <c r="A299" s="234"/>
      <c r="Y299" s="10"/>
      <c r="Z299" s="10"/>
      <c r="AA299" s="10"/>
      <c r="AB299" s="10"/>
      <c r="AC299" s="10"/>
      <c r="AD299" s="10"/>
      <c r="AE299" s="223"/>
      <c r="AF299" s="10"/>
      <c r="AG299" s="10"/>
      <c r="AH299" s="10"/>
    </row>
    <row r="300" spans="1:34" ht="16.149999999999999" customHeight="1" x14ac:dyDescent="0.2">
      <c r="A300" s="234"/>
      <c r="Y300" s="10"/>
      <c r="Z300" s="10"/>
      <c r="AA300" s="10"/>
      <c r="AB300" s="10"/>
      <c r="AC300" s="10"/>
      <c r="AD300" s="10"/>
      <c r="AE300" s="223"/>
      <c r="AF300" s="10"/>
      <c r="AG300" s="10"/>
      <c r="AH300" s="10"/>
    </row>
    <row r="301" spans="1:34" ht="16.149999999999999" customHeight="1" x14ac:dyDescent="0.2">
      <c r="A301" s="234"/>
      <c r="Y301" s="10"/>
      <c r="Z301" s="10"/>
      <c r="AA301" s="10"/>
      <c r="AB301" s="10"/>
      <c r="AC301" s="10"/>
      <c r="AD301" s="10"/>
      <c r="AE301" s="223"/>
      <c r="AF301" s="10"/>
      <c r="AG301" s="10"/>
      <c r="AH301" s="10"/>
    </row>
    <row r="302" spans="1:34" ht="16.149999999999999" customHeight="1" x14ac:dyDescent="0.2">
      <c r="A302" s="234"/>
      <c r="Y302" s="10"/>
      <c r="Z302" s="10"/>
      <c r="AA302" s="10"/>
      <c r="AB302" s="10"/>
      <c r="AC302" s="10"/>
      <c r="AD302" s="10"/>
      <c r="AE302" s="223"/>
      <c r="AF302" s="10"/>
      <c r="AG302" s="10"/>
      <c r="AH302" s="10"/>
    </row>
    <row r="303" spans="1:34" ht="16.149999999999999" customHeight="1" x14ac:dyDescent="0.2">
      <c r="A303" s="234"/>
      <c r="Y303" s="10"/>
      <c r="Z303" s="10"/>
      <c r="AA303" s="10"/>
      <c r="AB303" s="10"/>
      <c r="AC303" s="10"/>
      <c r="AD303" s="10"/>
      <c r="AE303" s="223"/>
      <c r="AF303" s="10"/>
      <c r="AG303" s="10"/>
      <c r="AH303" s="10"/>
    </row>
    <row r="304" spans="1:34" ht="16.149999999999999" customHeight="1" x14ac:dyDescent="0.2">
      <c r="A304" s="234"/>
      <c r="Y304" s="10"/>
      <c r="Z304" s="10"/>
      <c r="AA304" s="10"/>
      <c r="AB304" s="10"/>
      <c r="AC304" s="10"/>
      <c r="AD304" s="10"/>
      <c r="AE304" s="223"/>
      <c r="AF304" s="10"/>
      <c r="AG304" s="10"/>
      <c r="AH304" s="10"/>
    </row>
    <row r="305" spans="1:34" ht="16.149999999999999" customHeight="1" x14ac:dyDescent="0.2">
      <c r="A305" s="234"/>
      <c r="Y305" s="10"/>
      <c r="Z305" s="10"/>
      <c r="AA305" s="10"/>
      <c r="AB305" s="10"/>
      <c r="AC305" s="10"/>
      <c r="AD305" s="10"/>
      <c r="AE305" s="223"/>
      <c r="AF305" s="10"/>
      <c r="AG305" s="10"/>
      <c r="AH305" s="10"/>
    </row>
    <row r="306" spans="1:34" ht="16.149999999999999" customHeight="1" x14ac:dyDescent="0.2">
      <c r="A306" s="234"/>
      <c r="Y306" s="10"/>
      <c r="Z306" s="10"/>
      <c r="AA306" s="10"/>
      <c r="AB306" s="10"/>
      <c r="AC306" s="10"/>
      <c r="AD306" s="10"/>
      <c r="AE306" s="223"/>
      <c r="AF306" s="10"/>
      <c r="AG306" s="10"/>
      <c r="AH306" s="10"/>
    </row>
  </sheetData>
  <protectedRanges>
    <protectedRange sqref="AP55" name="Bereich1_1"/>
  </protectedRanges>
  <mergeCells count="218">
    <mergeCell ref="C103:T103"/>
    <mergeCell ref="U103:W103"/>
    <mergeCell ref="BD103:BF103"/>
    <mergeCell ref="C102:T102"/>
    <mergeCell ref="U102:W102"/>
    <mergeCell ref="BD102:BF102"/>
    <mergeCell ref="U87:W87"/>
    <mergeCell ref="U88:W88"/>
    <mergeCell ref="C88:T88"/>
    <mergeCell ref="C89:T89"/>
    <mergeCell ref="U89:W89"/>
    <mergeCell ref="C87:T87"/>
    <mergeCell ref="BD99:BF99"/>
    <mergeCell ref="C100:T100"/>
    <mergeCell ref="U100:W100"/>
    <mergeCell ref="BD100:BF100"/>
    <mergeCell ref="BD93:BF93"/>
    <mergeCell ref="BD92:BF92"/>
    <mergeCell ref="C91:T91"/>
    <mergeCell ref="C99:T99"/>
    <mergeCell ref="U92:W92"/>
    <mergeCell ref="C93:T93"/>
    <mergeCell ref="C101:T101"/>
    <mergeCell ref="U101:W101"/>
    <mergeCell ref="M34:P34"/>
    <mergeCell ref="M35:P35"/>
    <mergeCell ref="U72:X72"/>
    <mergeCell ref="B46:O46"/>
    <mergeCell ref="B47:O47"/>
    <mergeCell ref="C70:I70"/>
    <mergeCell ref="D37:X37"/>
    <mergeCell ref="C72:I72"/>
    <mergeCell ref="P50:X50"/>
    <mergeCell ref="B52:X52"/>
    <mergeCell ref="T47:X47"/>
    <mergeCell ref="J71:T71"/>
    <mergeCell ref="U71:X71"/>
    <mergeCell ref="U70:X70"/>
    <mergeCell ref="P46:S46"/>
    <mergeCell ref="L48:N48"/>
    <mergeCell ref="U69:X69"/>
    <mergeCell ref="J70:T70"/>
    <mergeCell ref="C69:I69"/>
    <mergeCell ref="J69:T69"/>
    <mergeCell ref="N116:W116"/>
    <mergeCell ref="N110:W110"/>
    <mergeCell ref="C104:T104"/>
    <mergeCell ref="N111:W111"/>
    <mergeCell ref="U104:W104"/>
    <mergeCell ref="Q105:T105"/>
    <mergeCell ref="C116:M116"/>
    <mergeCell ref="C111:M111"/>
    <mergeCell ref="C105:E105"/>
    <mergeCell ref="C110:K110"/>
    <mergeCell ref="C115:K115"/>
    <mergeCell ref="N115:W115"/>
    <mergeCell ref="B107:X107"/>
    <mergeCell ref="U105:W105"/>
    <mergeCell ref="U99:W99"/>
    <mergeCell ref="C97:T97"/>
    <mergeCell ref="U97:W97"/>
    <mergeCell ref="U93:W93"/>
    <mergeCell ref="C92:T92"/>
    <mergeCell ref="U76:X76"/>
    <mergeCell ref="S4:X4"/>
    <mergeCell ref="M33:P33"/>
    <mergeCell ref="P45:S45"/>
    <mergeCell ref="T45:X45"/>
    <mergeCell ref="D39:X39"/>
    <mergeCell ref="K31:M31"/>
    <mergeCell ref="B12:X12"/>
    <mergeCell ref="D40:X40"/>
    <mergeCell ref="D43:X43"/>
    <mergeCell ref="K30:M30"/>
    <mergeCell ref="Q35:X35"/>
    <mergeCell ref="B18:G18"/>
    <mergeCell ref="D38:X38"/>
    <mergeCell ref="B33:L33"/>
    <mergeCell ref="D22:X22"/>
    <mergeCell ref="D23:X23"/>
    <mergeCell ref="D24:X24"/>
    <mergeCell ref="D26:X26"/>
    <mergeCell ref="N13:T13"/>
    <mergeCell ref="B17:G17"/>
    <mergeCell ref="B45:O45"/>
    <mergeCell ref="C74:I74"/>
    <mergeCell ref="U91:W91"/>
    <mergeCell ref="C90:T90"/>
    <mergeCell ref="U90:W90"/>
    <mergeCell ref="U82:X82"/>
    <mergeCell ref="U75:X75"/>
    <mergeCell ref="C75:I75"/>
    <mergeCell ref="B15:G15"/>
    <mergeCell ref="N19:T19"/>
    <mergeCell ref="U16:X16"/>
    <mergeCell ref="N17:T17"/>
    <mergeCell ref="B13:G13"/>
    <mergeCell ref="B14:G14"/>
    <mergeCell ref="U18:X18"/>
    <mergeCell ref="B31:J31"/>
    <mergeCell ref="B32:J32"/>
    <mergeCell ref="K32:M32"/>
    <mergeCell ref="Q33:X33"/>
    <mergeCell ref="B29:X29"/>
    <mergeCell ref="B34:L34"/>
    <mergeCell ref="B35:L35"/>
    <mergeCell ref="B1:X1"/>
    <mergeCell ref="B3:E3"/>
    <mergeCell ref="B5:E5"/>
    <mergeCell ref="B4:E4"/>
    <mergeCell ref="O5:X5"/>
    <mergeCell ref="F5:M5"/>
    <mergeCell ref="F3:M3"/>
    <mergeCell ref="F6:M6"/>
    <mergeCell ref="F7:M7"/>
    <mergeCell ref="F4:M4"/>
    <mergeCell ref="N6:T6"/>
    <mergeCell ref="N7:T7"/>
    <mergeCell ref="U6:X7"/>
    <mergeCell ref="O3:R3"/>
    <mergeCell ref="S3:X3"/>
    <mergeCell ref="O4:R4"/>
    <mergeCell ref="BD87:BF87"/>
    <mergeCell ref="BD88:BF88"/>
    <mergeCell ref="BD90:BF90"/>
    <mergeCell ref="BD91:BF91"/>
    <mergeCell ref="U74:X74"/>
    <mergeCell ref="P47:S47"/>
    <mergeCell ref="J75:T75"/>
    <mergeCell ref="J74:T74"/>
    <mergeCell ref="B50:O50"/>
    <mergeCell ref="B49:X49"/>
    <mergeCell ref="P48:S48"/>
    <mergeCell ref="J72:T72"/>
    <mergeCell ref="C71:I71"/>
    <mergeCell ref="C73:I73"/>
    <mergeCell ref="J73:T73"/>
    <mergeCell ref="U73:X73"/>
    <mergeCell ref="C78:I78"/>
    <mergeCell ref="J78:T78"/>
    <mergeCell ref="U78:X78"/>
    <mergeCell ref="C77:I77"/>
    <mergeCell ref="J77:T77"/>
    <mergeCell ref="U77:X77"/>
    <mergeCell ref="C76:I76"/>
    <mergeCell ref="J76:T76"/>
    <mergeCell ref="BD97:BF97"/>
    <mergeCell ref="C96:T96"/>
    <mergeCell ref="U96:W96"/>
    <mergeCell ref="BD96:BF96"/>
    <mergeCell ref="J83:T83"/>
    <mergeCell ref="BD89:BF89"/>
    <mergeCell ref="BD108:BF108"/>
    <mergeCell ref="B108:X108"/>
    <mergeCell ref="BD107:BF107"/>
    <mergeCell ref="BD106:BF106"/>
    <mergeCell ref="BD104:BF104"/>
    <mergeCell ref="BD105:BF105"/>
    <mergeCell ref="C94:T94"/>
    <mergeCell ref="U94:W94"/>
    <mergeCell ref="C95:T95"/>
    <mergeCell ref="U95:W95"/>
    <mergeCell ref="BD95:BF95"/>
    <mergeCell ref="BD94:BF94"/>
    <mergeCell ref="BD101:BF101"/>
    <mergeCell ref="C98:T98"/>
    <mergeCell ref="U98:W98"/>
    <mergeCell ref="BD98:BF98"/>
    <mergeCell ref="C84:I84"/>
    <mergeCell ref="U83:X83"/>
    <mergeCell ref="U86:W86"/>
    <mergeCell ref="C83:I83"/>
    <mergeCell ref="B85:X85"/>
    <mergeCell ref="C81:I81"/>
    <mergeCell ref="J81:T81"/>
    <mergeCell ref="U81:X81"/>
    <mergeCell ref="B9:E9"/>
    <mergeCell ref="B10:E10"/>
    <mergeCell ref="B16:G16"/>
    <mergeCell ref="B19:G19"/>
    <mergeCell ref="B30:J30"/>
    <mergeCell ref="N16:T16"/>
    <mergeCell ref="N18:T18"/>
    <mergeCell ref="B20:X20"/>
    <mergeCell ref="O9:P9"/>
    <mergeCell ref="Q9:T9"/>
    <mergeCell ref="H19:L19"/>
    <mergeCell ref="B11:X11"/>
    <mergeCell ref="F9:K9"/>
    <mergeCell ref="F10:K10"/>
    <mergeCell ref="U17:X17"/>
    <mergeCell ref="U13:X13"/>
    <mergeCell ref="H16:L16"/>
    <mergeCell ref="H17:L17"/>
    <mergeCell ref="N14:T14"/>
    <mergeCell ref="U14:X14"/>
    <mergeCell ref="D27:X27"/>
    <mergeCell ref="D25:X25"/>
    <mergeCell ref="H18:L18"/>
    <mergeCell ref="H13:L13"/>
    <mergeCell ref="H14:L14"/>
    <mergeCell ref="H15:L15"/>
    <mergeCell ref="C82:I82"/>
    <mergeCell ref="J82:T82"/>
    <mergeCell ref="N15:T15"/>
    <mergeCell ref="U15:X15"/>
    <mergeCell ref="D21:X21"/>
    <mergeCell ref="O31:X31"/>
    <mergeCell ref="C80:I80"/>
    <mergeCell ref="J80:T80"/>
    <mergeCell ref="U80:X80"/>
    <mergeCell ref="C79:I79"/>
    <mergeCell ref="J79:T79"/>
    <mergeCell ref="U79:X79"/>
    <mergeCell ref="M36:P36"/>
    <mergeCell ref="O32:X32"/>
    <mergeCell ref="D41:X41"/>
    <mergeCell ref="D42:X42"/>
  </mergeCells>
  <conditionalFormatting sqref="F3:M7 N6:T7 S3:X4 Q9 F9:K10 H13:L19 U13:X18 M33:P35 D38:X38 P46:S47 P50 D37 D40:X43 D39 K30:K32 D25:X25 D21:D24 D27:X27 D26">
    <cfRule type="expression" dxfId="56" priority="114">
      <formula>(ISBLANK(D3:K3)=TRUE)</formula>
    </cfRule>
  </conditionalFormatting>
  <conditionalFormatting sqref="B100:Y101 B104:Y104 B102:C102 U102:Y102 U98:Y99 B98:C99 B87:C95 U87:Y95">
    <cfRule type="expression" dxfId="55" priority="41">
      <formula>ROW()=AktiveZeile</formula>
    </cfRule>
  </conditionalFormatting>
  <conditionalFormatting sqref="B103:Y103">
    <cfRule type="expression" dxfId="54" priority="39">
      <formula>ROW()=AktiveZeile</formula>
    </cfRule>
  </conditionalFormatting>
  <conditionalFormatting sqref="U97:Y97 B97:C97">
    <cfRule type="expression" dxfId="53" priority="37">
      <formula>ROW()=AktiveZeile</formula>
    </cfRule>
  </conditionalFormatting>
  <conditionalFormatting sqref="U96:Y96 B96:C96">
    <cfRule type="expression" dxfId="52" priority="35">
      <formula>ROW()=AktiveZeile</formula>
    </cfRule>
  </conditionalFormatting>
  <dataValidations count="8">
    <dataValidation type="list" allowBlank="1" showInputMessage="1" showErrorMessage="1" sqref="S4:X4" xr:uid="{00000000-0002-0000-0000-000000000000}">
      <formula1>"W.Jost, Y.Schumacher, S.Leingang, S.Brußmann, R.Pilz, Export, ServiceCenter"</formula1>
    </dataValidation>
    <dataValidation allowBlank="1" showInputMessage="1" sqref="U16:X16 H14 U87:W104 U69:U83" xr:uid="{00000000-0002-0000-0000-000001000000}"/>
    <dataValidation type="textLength" allowBlank="1" showDropDown="1" showInputMessage="1" showErrorMessage="1" error="Dieser Bereich ist geschützt !" sqref="B30:J32 B33:L33" xr:uid="{00000000-0002-0000-0000-000002000000}">
      <formula1>0</formula1>
      <formula2>0</formula2>
    </dataValidation>
    <dataValidation allowBlank="1" showErrorMessage="1" errorTitle="Auftrags- Nr." error="Die Auftrags- Nr. hat zuwenig oder zuviel Zeichen als erlaubt !" sqref="S3:X3" xr:uid="{00000000-0002-0000-0000-000003000000}"/>
    <dataValidation allowBlank="1" showInputMessage="1" showErrorMessage="1" error="Dieser Bereich ist geschützt !" sqref="Q34 M35:P35" xr:uid="{00000000-0002-0000-0000-000004000000}"/>
    <dataValidation type="custom" allowBlank="1" showInputMessage="1" showErrorMessage="1" sqref="N7:T7" xr:uid="{00000000-0002-0000-0000-000005000000}">
      <formula1>N7&lt;&gt;"---"</formula1>
    </dataValidation>
    <dataValidation type="list" allowBlank="1" error="Dieser Bereich ist geschützt !" sqref="F10:K10" xr:uid="{00000000-0002-0000-0000-000006000000}">
      <formula1>"A.Ewers, H.Brettmeier, F.Müller, D.Schulze, M.Fränzke, F.Bergt, R.Uceda, J.Brakweh, A.Kelhorn"</formula1>
    </dataValidation>
    <dataValidation type="list" allowBlank="1" showInputMessage="1" showErrorMessage="1" error="Dieser Bereich ist geschützt !" sqref="F9:K9" xr:uid="{00000000-0002-0000-0000-000007000000}">
      <formula1>"A.Ewers, H.Brettmeier, F.Müller, D.Schulze, M.Fränzke, F.Bergt, A.Kelhorn"</formula1>
    </dataValidation>
  </dataValidations>
  <pageMargins left="0.78740157480314965" right="0.31496062992125984" top="0.39370078740157483" bottom="0.94488188976377963" header="0" footer="0.23622047244094491"/>
  <pageSetup paperSize="9" firstPageNumber="0" orientation="portrait" r:id="rId1"/>
  <headerFooter>
    <oddFooter>&amp;LAuftrags -Nr.: &amp;11 &amp;10 
Aufbautyp:  
Kunde: &amp;R&amp;11 301_03_Rohbauabnahmeprotokoll 
Seite: &amp;P von &amp;N</oddFooter>
    <firstFooter>&amp;RTelefonliste_FB_AB_AB_00002
Seite &amp;"Arial,Fett"&amp;9&amp;P+1&amp;"Arial,Standard"&amp;10 von &amp;"Arial,Fett"&amp;N</firstFooter>
  </headerFooter>
  <drawing r:id="rId2"/>
  <legacyDrawing r:id="rId3"/>
  <controls>
    <mc:AlternateContent xmlns:mc="http://schemas.openxmlformats.org/markup-compatibility/2006">
      <mc:Choice Requires="x14">
        <control shapeId="1174" r:id="rId4" name="Label1">
          <controlPr defaultSize="0" autoLine="0" r:id="rId5">
            <anchor moveWithCells="1">
              <from>
                <xdr:col>14</xdr:col>
                <xdr:colOff>9525</xdr:colOff>
                <xdr:row>29</xdr:row>
                <xdr:rowOff>28575</xdr:rowOff>
              </from>
              <to>
                <xdr:col>16</xdr:col>
                <xdr:colOff>28575</xdr:colOff>
                <xdr:row>31</xdr:row>
                <xdr:rowOff>171450</xdr:rowOff>
              </to>
            </anchor>
          </controlPr>
        </control>
      </mc:Choice>
      <mc:Fallback>
        <control shapeId="1174" r:id="rId4" name="Label1"/>
      </mc:Fallback>
    </mc:AlternateContent>
    <mc:AlternateContent xmlns:mc="http://schemas.openxmlformats.org/markup-compatibility/2006">
      <mc:Choice Requires="x14">
        <control shapeId="1161" r:id="rId6" name="Aufbautyp">
          <controlPr defaultSize="0" print="0" autoFill="0" autoLine="0" autoPict="0" r:id="rId7">
            <anchor moveWithCells="1">
              <from>
                <xdr:col>9</xdr:col>
                <xdr:colOff>0</xdr:colOff>
                <xdr:row>55</xdr:row>
                <xdr:rowOff>161925</xdr:rowOff>
              </from>
              <to>
                <xdr:col>15</xdr:col>
                <xdr:colOff>123825</xdr:colOff>
                <xdr:row>62</xdr:row>
                <xdr:rowOff>9525</xdr:rowOff>
              </to>
            </anchor>
          </controlPr>
        </control>
      </mc:Choice>
      <mc:Fallback>
        <control shapeId="1161" r:id="rId6" name="Aufbautyp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00000000-0002-0000-0000-000008000000}">
          <x14:formula1>
            <xm:f>IF($A$1=1,'1'!$A$8:$A$9,'1'!$B$8:$B$9)</xm:f>
          </x14:formula1>
          <xm:sqref>H13:L13</xm:sqref>
        </x14:dataValidation>
        <x14:dataValidation type="list" allowBlank="1" showInputMessage="1" xr:uid="{00000000-0002-0000-0000-000009000000}">
          <x14:formula1>
            <xm:f>IF($A$1=1,'1'!$A$2,'1'!$B$2)</xm:f>
          </x14:formula1>
          <xm:sqref>H15:L15</xm:sqref>
        </x14:dataValidation>
        <x14:dataValidation type="list" allowBlank="1" showInputMessage="1" xr:uid="{00000000-0002-0000-0000-00000A000000}">
          <x14:formula1>
            <xm:f>IF($A$1=1,'1'!$A$3:$A$5,'1'!$B$3:$B$5)</xm:f>
          </x14:formula1>
          <xm:sqref>H16:L16</xm:sqref>
        </x14:dataValidation>
        <x14:dataValidation type="list" allowBlank="1" showInputMessage="1" xr:uid="{00000000-0002-0000-0000-00000B000000}">
          <x14:formula1>
            <xm:f>IF($A$1=1,'1'!$A$3:$A$4,'1'!$B$3:$B$4)</xm:f>
          </x14:formula1>
          <xm:sqref>U14:X14 H18:L18</xm:sqref>
        </x14:dataValidation>
        <x14:dataValidation type="list" allowBlank="1" showInputMessage="1" xr:uid="{00000000-0002-0000-0000-00000C000000}">
          <x14:formula1>
            <xm:f>IF($A$1=1,'1'!$A$6:$A$7,'1'!$B$6:$B$7)</xm:f>
          </x14:formula1>
          <xm:sqref>H17:L17 U17:X18 H19:L19</xm:sqref>
        </x14:dataValidation>
        <x14:dataValidation type="list" allowBlank="1" showInputMessage="1" showErrorMessage="1" xr:uid="{00000000-0002-0000-0000-00000D000000}">
          <x14:formula1>
            <xm:f>IF($A$1=1,'1'!$A$6:$A$7,'1'!$B$6:$B$7)</xm:f>
          </x14:formula1>
          <xm:sqref>P46:S46 M33:P33 K30:K32</xm:sqref>
        </x14:dataValidation>
        <x14:dataValidation type="list" allowBlank="1" showInputMessage="1" xr:uid="{00000000-0002-0000-0000-00000E000000}">
          <x14:formula1>
            <xm:f>IF($A$1=1,'1'!$A$60:$A$61,'1'!$B$60:$B$61)</xm:f>
          </x14:formula1>
          <xm:sqref>P50:X50</xm:sqref>
        </x14:dataValidation>
        <x14:dataValidation type="list" allowBlank="1" showInputMessage="1" showErrorMessage="1" error="Dieser Bereich ist geschützt !" xr:uid="{00000000-0002-0000-0000-00000F000000}">
          <x14:formula1>
            <xm:f>IF($A$1=1,'1'!$A$6:$A$7,'1'!$B$6:$B$7)</xm:f>
          </x14:formula1>
          <xm:sqref>P46:S46</xm:sqref>
        </x14:dataValidation>
        <x14:dataValidation type="list" allowBlank="1" showInputMessage="1" showErrorMessage="1" error="Dieser Bereich ist geschützt !" xr:uid="{00000000-0002-0000-0000-000010000000}">
          <x14:formula1>
            <xm:f>IF($A$1=1,'1'!$A$60:$A$61,'1'!$B$60:$B$61)</xm:f>
          </x14:formula1>
          <xm:sqref>P50:X50</xm:sqref>
        </x14:dataValidation>
        <x14:dataValidation type="list" allowBlank="1" showInputMessage="1" showErrorMessage="1" error="Dieser Bereich ist geschützt !" xr:uid="{00000000-0002-0000-0000-000011000000}">
          <x14:formula1>
            <xm:f>IF($A$1=1,'1'!$A$104:$A$105,'1'!$B$104:$B$105)</xm:f>
          </x14:formula1>
          <xm:sqref>M34:P34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0"/>
  <dimension ref="A1:E124"/>
  <sheetViews>
    <sheetView topLeftCell="A20" zoomScale="110" zoomScaleNormal="110" workbookViewId="0">
      <selection activeCell="B14" sqref="B14"/>
    </sheetView>
  </sheetViews>
  <sheetFormatPr baseColWidth="10" defaultRowHeight="12.75" x14ac:dyDescent="0.2"/>
  <cols>
    <col min="1" max="2" width="55.7109375" style="8" customWidth="1"/>
    <col min="3" max="245" width="11.5703125"/>
    <col min="246" max="246" width="10" customWidth="1"/>
    <col min="247" max="247" width="5.85546875" customWidth="1"/>
    <col min="248" max="248" width="4" bestFit="1" customWidth="1"/>
    <col min="249" max="249" width="47.7109375" bestFit="1" customWidth="1"/>
    <col min="250" max="250" width="39.5703125" customWidth="1"/>
    <col min="251" max="251" width="37" customWidth="1"/>
    <col min="252" max="252" width="36.7109375" customWidth="1"/>
    <col min="253" max="257" width="20.140625" bestFit="1" customWidth="1"/>
    <col min="258" max="258" width="12.7109375" bestFit="1" customWidth="1"/>
    <col min="259" max="501" width="11.5703125"/>
    <col min="502" max="502" width="10" customWidth="1"/>
    <col min="503" max="503" width="5.85546875" customWidth="1"/>
    <col min="504" max="504" width="4" bestFit="1" customWidth="1"/>
    <col min="505" max="505" width="47.7109375" bestFit="1" customWidth="1"/>
    <col min="506" max="506" width="39.5703125" customWidth="1"/>
    <col min="507" max="507" width="37" customWidth="1"/>
    <col min="508" max="508" width="36.7109375" customWidth="1"/>
    <col min="509" max="513" width="20.140625" bestFit="1" customWidth="1"/>
    <col min="514" max="514" width="12.7109375" bestFit="1" customWidth="1"/>
    <col min="515" max="757" width="11.5703125"/>
    <col min="758" max="758" width="10" customWidth="1"/>
    <col min="759" max="759" width="5.85546875" customWidth="1"/>
    <col min="760" max="760" width="4" bestFit="1" customWidth="1"/>
    <col min="761" max="761" width="47.7109375" bestFit="1" customWidth="1"/>
    <col min="762" max="762" width="39.5703125" customWidth="1"/>
    <col min="763" max="763" width="37" customWidth="1"/>
    <col min="764" max="764" width="36.7109375" customWidth="1"/>
    <col min="765" max="769" width="20.140625" bestFit="1" customWidth="1"/>
    <col min="770" max="770" width="12.7109375" bestFit="1" customWidth="1"/>
    <col min="771" max="1013" width="11.5703125"/>
    <col min="1014" max="1014" width="10" customWidth="1"/>
    <col min="1015" max="1015" width="5.85546875" customWidth="1"/>
    <col min="1016" max="1016" width="4" bestFit="1" customWidth="1"/>
    <col min="1017" max="1017" width="47.7109375" bestFit="1" customWidth="1"/>
    <col min="1018" max="1018" width="39.5703125" customWidth="1"/>
    <col min="1019" max="1019" width="37" customWidth="1"/>
    <col min="1020" max="1020" width="36.7109375" customWidth="1"/>
    <col min="1021" max="1025" width="20.140625" bestFit="1" customWidth="1"/>
    <col min="1026" max="1026" width="12.7109375" bestFit="1" customWidth="1"/>
    <col min="1027" max="1269" width="11.5703125"/>
    <col min="1270" max="1270" width="10" customWidth="1"/>
    <col min="1271" max="1271" width="5.85546875" customWidth="1"/>
    <col min="1272" max="1272" width="4" bestFit="1" customWidth="1"/>
    <col min="1273" max="1273" width="47.7109375" bestFit="1" customWidth="1"/>
    <col min="1274" max="1274" width="39.5703125" customWidth="1"/>
    <col min="1275" max="1275" width="37" customWidth="1"/>
    <col min="1276" max="1276" width="36.7109375" customWidth="1"/>
    <col min="1277" max="1281" width="20.140625" bestFit="1" customWidth="1"/>
    <col min="1282" max="1282" width="12.7109375" bestFit="1" customWidth="1"/>
    <col min="1283" max="1525" width="11.5703125"/>
    <col min="1526" max="1526" width="10" customWidth="1"/>
    <col min="1527" max="1527" width="5.85546875" customWidth="1"/>
    <col min="1528" max="1528" width="4" bestFit="1" customWidth="1"/>
    <col min="1529" max="1529" width="47.7109375" bestFit="1" customWidth="1"/>
    <col min="1530" max="1530" width="39.5703125" customWidth="1"/>
    <col min="1531" max="1531" width="37" customWidth="1"/>
    <col min="1532" max="1532" width="36.7109375" customWidth="1"/>
    <col min="1533" max="1537" width="20.140625" bestFit="1" customWidth="1"/>
    <col min="1538" max="1538" width="12.7109375" bestFit="1" customWidth="1"/>
    <col min="1539" max="1781" width="11.5703125"/>
    <col min="1782" max="1782" width="10" customWidth="1"/>
    <col min="1783" max="1783" width="5.85546875" customWidth="1"/>
    <col min="1784" max="1784" width="4" bestFit="1" customWidth="1"/>
    <col min="1785" max="1785" width="47.7109375" bestFit="1" customWidth="1"/>
    <col min="1786" max="1786" width="39.5703125" customWidth="1"/>
    <col min="1787" max="1787" width="37" customWidth="1"/>
    <col min="1788" max="1788" width="36.7109375" customWidth="1"/>
    <col min="1789" max="1793" width="20.140625" bestFit="1" customWidth="1"/>
    <col min="1794" max="1794" width="12.7109375" bestFit="1" customWidth="1"/>
    <col min="1795" max="2037" width="11.5703125"/>
    <col min="2038" max="2038" width="10" customWidth="1"/>
    <col min="2039" max="2039" width="5.85546875" customWidth="1"/>
    <col min="2040" max="2040" width="4" bestFit="1" customWidth="1"/>
    <col min="2041" max="2041" width="47.7109375" bestFit="1" customWidth="1"/>
    <col min="2042" max="2042" width="39.5703125" customWidth="1"/>
    <col min="2043" max="2043" width="37" customWidth="1"/>
    <col min="2044" max="2044" width="36.7109375" customWidth="1"/>
    <col min="2045" max="2049" width="20.140625" bestFit="1" customWidth="1"/>
    <col min="2050" max="2050" width="12.7109375" bestFit="1" customWidth="1"/>
    <col min="2051" max="2293" width="11.5703125"/>
    <col min="2294" max="2294" width="10" customWidth="1"/>
    <col min="2295" max="2295" width="5.85546875" customWidth="1"/>
    <col min="2296" max="2296" width="4" bestFit="1" customWidth="1"/>
    <col min="2297" max="2297" width="47.7109375" bestFit="1" customWidth="1"/>
    <col min="2298" max="2298" width="39.5703125" customWidth="1"/>
    <col min="2299" max="2299" width="37" customWidth="1"/>
    <col min="2300" max="2300" width="36.7109375" customWidth="1"/>
    <col min="2301" max="2305" width="20.140625" bestFit="1" customWidth="1"/>
    <col min="2306" max="2306" width="12.7109375" bestFit="1" customWidth="1"/>
    <col min="2307" max="2549" width="11.5703125"/>
    <col min="2550" max="2550" width="10" customWidth="1"/>
    <col min="2551" max="2551" width="5.85546875" customWidth="1"/>
    <col min="2552" max="2552" width="4" bestFit="1" customWidth="1"/>
    <col min="2553" max="2553" width="47.7109375" bestFit="1" customWidth="1"/>
    <col min="2554" max="2554" width="39.5703125" customWidth="1"/>
    <col min="2555" max="2555" width="37" customWidth="1"/>
    <col min="2556" max="2556" width="36.7109375" customWidth="1"/>
    <col min="2557" max="2561" width="20.140625" bestFit="1" customWidth="1"/>
    <col min="2562" max="2562" width="12.7109375" bestFit="1" customWidth="1"/>
    <col min="2563" max="2805" width="11.5703125"/>
    <col min="2806" max="2806" width="10" customWidth="1"/>
    <col min="2807" max="2807" width="5.85546875" customWidth="1"/>
    <col min="2808" max="2808" width="4" bestFit="1" customWidth="1"/>
    <col min="2809" max="2809" width="47.7109375" bestFit="1" customWidth="1"/>
    <col min="2810" max="2810" width="39.5703125" customWidth="1"/>
    <col min="2811" max="2811" width="37" customWidth="1"/>
    <col min="2812" max="2812" width="36.7109375" customWidth="1"/>
    <col min="2813" max="2817" width="20.140625" bestFit="1" customWidth="1"/>
    <col min="2818" max="2818" width="12.7109375" bestFit="1" customWidth="1"/>
    <col min="2819" max="3061" width="11.5703125"/>
    <col min="3062" max="3062" width="10" customWidth="1"/>
    <col min="3063" max="3063" width="5.85546875" customWidth="1"/>
    <col min="3064" max="3064" width="4" bestFit="1" customWidth="1"/>
    <col min="3065" max="3065" width="47.7109375" bestFit="1" customWidth="1"/>
    <col min="3066" max="3066" width="39.5703125" customWidth="1"/>
    <col min="3067" max="3067" width="37" customWidth="1"/>
    <col min="3068" max="3068" width="36.7109375" customWidth="1"/>
    <col min="3069" max="3073" width="20.140625" bestFit="1" customWidth="1"/>
    <col min="3074" max="3074" width="12.7109375" bestFit="1" customWidth="1"/>
    <col min="3075" max="3317" width="11.5703125"/>
    <col min="3318" max="3318" width="10" customWidth="1"/>
    <col min="3319" max="3319" width="5.85546875" customWidth="1"/>
    <col min="3320" max="3320" width="4" bestFit="1" customWidth="1"/>
    <col min="3321" max="3321" width="47.7109375" bestFit="1" customWidth="1"/>
    <col min="3322" max="3322" width="39.5703125" customWidth="1"/>
    <col min="3323" max="3323" width="37" customWidth="1"/>
    <col min="3324" max="3324" width="36.7109375" customWidth="1"/>
    <col min="3325" max="3329" width="20.140625" bestFit="1" customWidth="1"/>
    <col min="3330" max="3330" width="12.7109375" bestFit="1" customWidth="1"/>
    <col min="3331" max="3573" width="11.5703125"/>
    <col min="3574" max="3574" width="10" customWidth="1"/>
    <col min="3575" max="3575" width="5.85546875" customWidth="1"/>
    <col min="3576" max="3576" width="4" bestFit="1" customWidth="1"/>
    <col min="3577" max="3577" width="47.7109375" bestFit="1" customWidth="1"/>
    <col min="3578" max="3578" width="39.5703125" customWidth="1"/>
    <col min="3579" max="3579" width="37" customWidth="1"/>
    <col min="3580" max="3580" width="36.7109375" customWidth="1"/>
    <col min="3581" max="3585" width="20.140625" bestFit="1" customWidth="1"/>
    <col min="3586" max="3586" width="12.7109375" bestFit="1" customWidth="1"/>
    <col min="3587" max="3829" width="11.5703125"/>
    <col min="3830" max="3830" width="10" customWidth="1"/>
    <col min="3831" max="3831" width="5.85546875" customWidth="1"/>
    <col min="3832" max="3832" width="4" bestFit="1" customWidth="1"/>
    <col min="3833" max="3833" width="47.7109375" bestFit="1" customWidth="1"/>
    <col min="3834" max="3834" width="39.5703125" customWidth="1"/>
    <col min="3835" max="3835" width="37" customWidth="1"/>
    <col min="3836" max="3836" width="36.7109375" customWidth="1"/>
    <col min="3837" max="3841" width="20.140625" bestFit="1" customWidth="1"/>
    <col min="3842" max="3842" width="12.7109375" bestFit="1" customWidth="1"/>
    <col min="3843" max="4085" width="11.5703125"/>
    <col min="4086" max="4086" width="10" customWidth="1"/>
    <col min="4087" max="4087" width="5.85546875" customWidth="1"/>
    <col min="4088" max="4088" width="4" bestFit="1" customWidth="1"/>
    <col min="4089" max="4089" width="47.7109375" bestFit="1" customWidth="1"/>
    <col min="4090" max="4090" width="39.5703125" customWidth="1"/>
    <col min="4091" max="4091" width="37" customWidth="1"/>
    <col min="4092" max="4092" width="36.7109375" customWidth="1"/>
    <col min="4093" max="4097" width="20.140625" bestFit="1" customWidth="1"/>
    <col min="4098" max="4098" width="12.7109375" bestFit="1" customWidth="1"/>
    <col min="4099" max="4341" width="11.5703125"/>
    <col min="4342" max="4342" width="10" customWidth="1"/>
    <col min="4343" max="4343" width="5.85546875" customWidth="1"/>
    <col min="4344" max="4344" width="4" bestFit="1" customWidth="1"/>
    <col min="4345" max="4345" width="47.7109375" bestFit="1" customWidth="1"/>
    <col min="4346" max="4346" width="39.5703125" customWidth="1"/>
    <col min="4347" max="4347" width="37" customWidth="1"/>
    <col min="4348" max="4348" width="36.7109375" customWidth="1"/>
    <col min="4349" max="4353" width="20.140625" bestFit="1" customWidth="1"/>
    <col min="4354" max="4354" width="12.7109375" bestFit="1" customWidth="1"/>
    <col min="4355" max="4597" width="11.5703125"/>
    <col min="4598" max="4598" width="10" customWidth="1"/>
    <col min="4599" max="4599" width="5.85546875" customWidth="1"/>
    <col min="4600" max="4600" width="4" bestFit="1" customWidth="1"/>
    <col min="4601" max="4601" width="47.7109375" bestFit="1" customWidth="1"/>
    <col min="4602" max="4602" width="39.5703125" customWidth="1"/>
    <col min="4603" max="4603" width="37" customWidth="1"/>
    <col min="4604" max="4604" width="36.7109375" customWidth="1"/>
    <col min="4605" max="4609" width="20.140625" bestFit="1" customWidth="1"/>
    <col min="4610" max="4610" width="12.7109375" bestFit="1" customWidth="1"/>
    <col min="4611" max="4853" width="11.5703125"/>
    <col min="4854" max="4854" width="10" customWidth="1"/>
    <col min="4855" max="4855" width="5.85546875" customWidth="1"/>
    <col min="4856" max="4856" width="4" bestFit="1" customWidth="1"/>
    <col min="4857" max="4857" width="47.7109375" bestFit="1" customWidth="1"/>
    <col min="4858" max="4858" width="39.5703125" customWidth="1"/>
    <col min="4859" max="4859" width="37" customWidth="1"/>
    <col min="4860" max="4860" width="36.7109375" customWidth="1"/>
    <col min="4861" max="4865" width="20.140625" bestFit="1" customWidth="1"/>
    <col min="4866" max="4866" width="12.7109375" bestFit="1" customWidth="1"/>
    <col min="4867" max="5109" width="11.5703125"/>
    <col min="5110" max="5110" width="10" customWidth="1"/>
    <col min="5111" max="5111" width="5.85546875" customWidth="1"/>
    <col min="5112" max="5112" width="4" bestFit="1" customWidth="1"/>
    <col min="5113" max="5113" width="47.7109375" bestFit="1" customWidth="1"/>
    <col min="5114" max="5114" width="39.5703125" customWidth="1"/>
    <col min="5115" max="5115" width="37" customWidth="1"/>
    <col min="5116" max="5116" width="36.7109375" customWidth="1"/>
    <col min="5117" max="5121" width="20.140625" bestFit="1" customWidth="1"/>
    <col min="5122" max="5122" width="12.7109375" bestFit="1" customWidth="1"/>
    <col min="5123" max="5365" width="11.5703125"/>
    <col min="5366" max="5366" width="10" customWidth="1"/>
    <col min="5367" max="5367" width="5.85546875" customWidth="1"/>
    <col min="5368" max="5368" width="4" bestFit="1" customWidth="1"/>
    <col min="5369" max="5369" width="47.7109375" bestFit="1" customWidth="1"/>
    <col min="5370" max="5370" width="39.5703125" customWidth="1"/>
    <col min="5371" max="5371" width="37" customWidth="1"/>
    <col min="5372" max="5372" width="36.7109375" customWidth="1"/>
    <col min="5373" max="5377" width="20.140625" bestFit="1" customWidth="1"/>
    <col min="5378" max="5378" width="12.7109375" bestFit="1" customWidth="1"/>
    <col min="5379" max="5621" width="11.5703125"/>
    <col min="5622" max="5622" width="10" customWidth="1"/>
    <col min="5623" max="5623" width="5.85546875" customWidth="1"/>
    <col min="5624" max="5624" width="4" bestFit="1" customWidth="1"/>
    <col min="5625" max="5625" width="47.7109375" bestFit="1" customWidth="1"/>
    <col min="5626" max="5626" width="39.5703125" customWidth="1"/>
    <col min="5627" max="5627" width="37" customWidth="1"/>
    <col min="5628" max="5628" width="36.7109375" customWidth="1"/>
    <col min="5629" max="5633" width="20.140625" bestFit="1" customWidth="1"/>
    <col min="5634" max="5634" width="12.7109375" bestFit="1" customWidth="1"/>
    <col min="5635" max="5877" width="11.5703125"/>
    <col min="5878" max="5878" width="10" customWidth="1"/>
    <col min="5879" max="5879" width="5.85546875" customWidth="1"/>
    <col min="5880" max="5880" width="4" bestFit="1" customWidth="1"/>
    <col min="5881" max="5881" width="47.7109375" bestFit="1" customWidth="1"/>
    <col min="5882" max="5882" width="39.5703125" customWidth="1"/>
    <col min="5883" max="5883" width="37" customWidth="1"/>
    <col min="5884" max="5884" width="36.7109375" customWidth="1"/>
    <col min="5885" max="5889" width="20.140625" bestFit="1" customWidth="1"/>
    <col min="5890" max="5890" width="12.7109375" bestFit="1" customWidth="1"/>
    <col min="5891" max="6133" width="11.5703125"/>
    <col min="6134" max="6134" width="10" customWidth="1"/>
    <col min="6135" max="6135" width="5.85546875" customWidth="1"/>
    <col min="6136" max="6136" width="4" bestFit="1" customWidth="1"/>
    <col min="6137" max="6137" width="47.7109375" bestFit="1" customWidth="1"/>
    <col min="6138" max="6138" width="39.5703125" customWidth="1"/>
    <col min="6139" max="6139" width="37" customWidth="1"/>
    <col min="6140" max="6140" width="36.7109375" customWidth="1"/>
    <col min="6141" max="6145" width="20.140625" bestFit="1" customWidth="1"/>
    <col min="6146" max="6146" width="12.7109375" bestFit="1" customWidth="1"/>
    <col min="6147" max="6389" width="11.5703125"/>
    <col min="6390" max="6390" width="10" customWidth="1"/>
    <col min="6391" max="6391" width="5.85546875" customWidth="1"/>
    <col min="6392" max="6392" width="4" bestFit="1" customWidth="1"/>
    <col min="6393" max="6393" width="47.7109375" bestFit="1" customWidth="1"/>
    <col min="6394" max="6394" width="39.5703125" customWidth="1"/>
    <col min="6395" max="6395" width="37" customWidth="1"/>
    <col min="6396" max="6396" width="36.7109375" customWidth="1"/>
    <col min="6397" max="6401" width="20.140625" bestFit="1" customWidth="1"/>
    <col min="6402" max="6402" width="12.7109375" bestFit="1" customWidth="1"/>
    <col min="6403" max="6645" width="11.5703125"/>
    <col min="6646" max="6646" width="10" customWidth="1"/>
    <col min="6647" max="6647" width="5.85546875" customWidth="1"/>
    <col min="6648" max="6648" width="4" bestFit="1" customWidth="1"/>
    <col min="6649" max="6649" width="47.7109375" bestFit="1" customWidth="1"/>
    <col min="6650" max="6650" width="39.5703125" customWidth="1"/>
    <col min="6651" max="6651" width="37" customWidth="1"/>
    <col min="6652" max="6652" width="36.7109375" customWidth="1"/>
    <col min="6653" max="6657" width="20.140625" bestFit="1" customWidth="1"/>
    <col min="6658" max="6658" width="12.7109375" bestFit="1" customWidth="1"/>
    <col min="6659" max="6901" width="11.5703125"/>
    <col min="6902" max="6902" width="10" customWidth="1"/>
    <col min="6903" max="6903" width="5.85546875" customWidth="1"/>
    <col min="6904" max="6904" width="4" bestFit="1" customWidth="1"/>
    <col min="6905" max="6905" width="47.7109375" bestFit="1" customWidth="1"/>
    <col min="6906" max="6906" width="39.5703125" customWidth="1"/>
    <col min="6907" max="6907" width="37" customWidth="1"/>
    <col min="6908" max="6908" width="36.7109375" customWidth="1"/>
    <col min="6909" max="6913" width="20.140625" bestFit="1" customWidth="1"/>
    <col min="6914" max="6914" width="12.7109375" bestFit="1" customWidth="1"/>
    <col min="6915" max="7157" width="11.5703125"/>
    <col min="7158" max="7158" width="10" customWidth="1"/>
    <col min="7159" max="7159" width="5.85546875" customWidth="1"/>
    <col min="7160" max="7160" width="4" bestFit="1" customWidth="1"/>
    <col min="7161" max="7161" width="47.7109375" bestFit="1" customWidth="1"/>
    <col min="7162" max="7162" width="39.5703125" customWidth="1"/>
    <col min="7163" max="7163" width="37" customWidth="1"/>
    <col min="7164" max="7164" width="36.7109375" customWidth="1"/>
    <col min="7165" max="7169" width="20.140625" bestFit="1" customWidth="1"/>
    <col min="7170" max="7170" width="12.7109375" bestFit="1" customWidth="1"/>
    <col min="7171" max="7413" width="11.5703125"/>
    <col min="7414" max="7414" width="10" customWidth="1"/>
    <col min="7415" max="7415" width="5.85546875" customWidth="1"/>
    <col min="7416" max="7416" width="4" bestFit="1" customWidth="1"/>
    <col min="7417" max="7417" width="47.7109375" bestFit="1" customWidth="1"/>
    <col min="7418" max="7418" width="39.5703125" customWidth="1"/>
    <col min="7419" max="7419" width="37" customWidth="1"/>
    <col min="7420" max="7420" width="36.7109375" customWidth="1"/>
    <col min="7421" max="7425" width="20.140625" bestFit="1" customWidth="1"/>
    <col min="7426" max="7426" width="12.7109375" bestFit="1" customWidth="1"/>
    <col min="7427" max="7669" width="11.5703125"/>
    <col min="7670" max="7670" width="10" customWidth="1"/>
    <col min="7671" max="7671" width="5.85546875" customWidth="1"/>
    <col min="7672" max="7672" width="4" bestFit="1" customWidth="1"/>
    <col min="7673" max="7673" width="47.7109375" bestFit="1" customWidth="1"/>
    <col min="7674" max="7674" width="39.5703125" customWidth="1"/>
    <col min="7675" max="7675" width="37" customWidth="1"/>
    <col min="7676" max="7676" width="36.7109375" customWidth="1"/>
    <col min="7677" max="7681" width="20.140625" bestFit="1" customWidth="1"/>
    <col min="7682" max="7682" width="12.7109375" bestFit="1" customWidth="1"/>
    <col min="7683" max="7925" width="11.5703125"/>
    <col min="7926" max="7926" width="10" customWidth="1"/>
    <col min="7927" max="7927" width="5.85546875" customWidth="1"/>
    <col min="7928" max="7928" width="4" bestFit="1" customWidth="1"/>
    <col min="7929" max="7929" width="47.7109375" bestFit="1" customWidth="1"/>
    <col min="7930" max="7930" width="39.5703125" customWidth="1"/>
    <col min="7931" max="7931" width="37" customWidth="1"/>
    <col min="7932" max="7932" width="36.7109375" customWidth="1"/>
    <col min="7933" max="7937" width="20.140625" bestFit="1" customWidth="1"/>
    <col min="7938" max="7938" width="12.7109375" bestFit="1" customWidth="1"/>
    <col min="7939" max="8181" width="11.5703125"/>
    <col min="8182" max="8182" width="10" customWidth="1"/>
    <col min="8183" max="8183" width="5.85546875" customWidth="1"/>
    <col min="8184" max="8184" width="4" bestFit="1" customWidth="1"/>
    <col min="8185" max="8185" width="47.7109375" bestFit="1" customWidth="1"/>
    <col min="8186" max="8186" width="39.5703125" customWidth="1"/>
    <col min="8187" max="8187" width="37" customWidth="1"/>
    <col min="8188" max="8188" width="36.7109375" customWidth="1"/>
    <col min="8189" max="8193" width="20.140625" bestFit="1" customWidth="1"/>
    <col min="8194" max="8194" width="12.7109375" bestFit="1" customWidth="1"/>
    <col min="8195" max="8437" width="11.5703125"/>
    <col min="8438" max="8438" width="10" customWidth="1"/>
    <col min="8439" max="8439" width="5.85546875" customWidth="1"/>
    <col min="8440" max="8440" width="4" bestFit="1" customWidth="1"/>
    <col min="8441" max="8441" width="47.7109375" bestFit="1" customWidth="1"/>
    <col min="8442" max="8442" width="39.5703125" customWidth="1"/>
    <col min="8443" max="8443" width="37" customWidth="1"/>
    <col min="8444" max="8444" width="36.7109375" customWidth="1"/>
    <col min="8445" max="8449" width="20.140625" bestFit="1" customWidth="1"/>
    <col min="8450" max="8450" width="12.7109375" bestFit="1" customWidth="1"/>
    <col min="8451" max="8693" width="11.5703125"/>
    <col min="8694" max="8694" width="10" customWidth="1"/>
    <col min="8695" max="8695" width="5.85546875" customWidth="1"/>
    <col min="8696" max="8696" width="4" bestFit="1" customWidth="1"/>
    <col min="8697" max="8697" width="47.7109375" bestFit="1" customWidth="1"/>
    <col min="8698" max="8698" width="39.5703125" customWidth="1"/>
    <col min="8699" max="8699" width="37" customWidth="1"/>
    <col min="8700" max="8700" width="36.7109375" customWidth="1"/>
    <col min="8701" max="8705" width="20.140625" bestFit="1" customWidth="1"/>
    <col min="8706" max="8706" width="12.7109375" bestFit="1" customWidth="1"/>
    <col min="8707" max="8949" width="11.5703125"/>
    <col min="8950" max="8950" width="10" customWidth="1"/>
    <col min="8951" max="8951" width="5.85546875" customWidth="1"/>
    <col min="8952" max="8952" width="4" bestFit="1" customWidth="1"/>
    <col min="8953" max="8953" width="47.7109375" bestFit="1" customWidth="1"/>
    <col min="8954" max="8954" width="39.5703125" customWidth="1"/>
    <col min="8955" max="8955" width="37" customWidth="1"/>
    <col min="8956" max="8956" width="36.7109375" customWidth="1"/>
    <col min="8957" max="8961" width="20.140625" bestFit="1" customWidth="1"/>
    <col min="8962" max="8962" width="12.7109375" bestFit="1" customWidth="1"/>
    <col min="8963" max="9205" width="11.5703125"/>
    <col min="9206" max="9206" width="10" customWidth="1"/>
    <col min="9207" max="9207" width="5.85546875" customWidth="1"/>
    <col min="9208" max="9208" width="4" bestFit="1" customWidth="1"/>
    <col min="9209" max="9209" width="47.7109375" bestFit="1" customWidth="1"/>
    <col min="9210" max="9210" width="39.5703125" customWidth="1"/>
    <col min="9211" max="9211" width="37" customWidth="1"/>
    <col min="9212" max="9212" width="36.7109375" customWidth="1"/>
    <col min="9213" max="9217" width="20.140625" bestFit="1" customWidth="1"/>
    <col min="9218" max="9218" width="12.7109375" bestFit="1" customWidth="1"/>
    <col min="9219" max="9461" width="11.5703125"/>
    <col min="9462" max="9462" width="10" customWidth="1"/>
    <col min="9463" max="9463" width="5.85546875" customWidth="1"/>
    <col min="9464" max="9464" width="4" bestFit="1" customWidth="1"/>
    <col min="9465" max="9465" width="47.7109375" bestFit="1" customWidth="1"/>
    <col min="9466" max="9466" width="39.5703125" customWidth="1"/>
    <col min="9467" max="9467" width="37" customWidth="1"/>
    <col min="9468" max="9468" width="36.7109375" customWidth="1"/>
    <col min="9469" max="9473" width="20.140625" bestFit="1" customWidth="1"/>
    <col min="9474" max="9474" width="12.7109375" bestFit="1" customWidth="1"/>
    <col min="9475" max="9717" width="11.5703125"/>
    <col min="9718" max="9718" width="10" customWidth="1"/>
    <col min="9719" max="9719" width="5.85546875" customWidth="1"/>
    <col min="9720" max="9720" width="4" bestFit="1" customWidth="1"/>
    <col min="9721" max="9721" width="47.7109375" bestFit="1" customWidth="1"/>
    <col min="9722" max="9722" width="39.5703125" customWidth="1"/>
    <col min="9723" max="9723" width="37" customWidth="1"/>
    <col min="9724" max="9724" width="36.7109375" customWidth="1"/>
    <col min="9725" max="9729" width="20.140625" bestFit="1" customWidth="1"/>
    <col min="9730" max="9730" width="12.7109375" bestFit="1" customWidth="1"/>
    <col min="9731" max="9973" width="11.5703125"/>
    <col min="9974" max="9974" width="10" customWidth="1"/>
    <col min="9975" max="9975" width="5.85546875" customWidth="1"/>
    <col min="9976" max="9976" width="4" bestFit="1" customWidth="1"/>
    <col min="9977" max="9977" width="47.7109375" bestFit="1" customWidth="1"/>
    <col min="9978" max="9978" width="39.5703125" customWidth="1"/>
    <col min="9979" max="9979" width="37" customWidth="1"/>
    <col min="9980" max="9980" width="36.7109375" customWidth="1"/>
    <col min="9981" max="9985" width="20.140625" bestFit="1" customWidth="1"/>
    <col min="9986" max="9986" width="12.7109375" bestFit="1" customWidth="1"/>
    <col min="9987" max="10229" width="11.5703125"/>
    <col min="10230" max="10230" width="10" customWidth="1"/>
    <col min="10231" max="10231" width="5.85546875" customWidth="1"/>
    <col min="10232" max="10232" width="4" bestFit="1" customWidth="1"/>
    <col min="10233" max="10233" width="47.7109375" bestFit="1" customWidth="1"/>
    <col min="10234" max="10234" width="39.5703125" customWidth="1"/>
    <col min="10235" max="10235" width="37" customWidth="1"/>
    <col min="10236" max="10236" width="36.7109375" customWidth="1"/>
    <col min="10237" max="10241" width="20.140625" bestFit="1" customWidth="1"/>
    <col min="10242" max="10242" width="12.7109375" bestFit="1" customWidth="1"/>
    <col min="10243" max="10485" width="11.5703125"/>
    <col min="10486" max="10486" width="10" customWidth="1"/>
    <col min="10487" max="10487" width="5.85546875" customWidth="1"/>
    <col min="10488" max="10488" width="4" bestFit="1" customWidth="1"/>
    <col min="10489" max="10489" width="47.7109375" bestFit="1" customWidth="1"/>
    <col min="10490" max="10490" width="39.5703125" customWidth="1"/>
    <col min="10491" max="10491" width="37" customWidth="1"/>
    <col min="10492" max="10492" width="36.7109375" customWidth="1"/>
    <col min="10493" max="10497" width="20.140625" bestFit="1" customWidth="1"/>
    <col min="10498" max="10498" width="12.7109375" bestFit="1" customWidth="1"/>
    <col min="10499" max="10741" width="11.5703125"/>
    <col min="10742" max="10742" width="10" customWidth="1"/>
    <col min="10743" max="10743" width="5.85546875" customWidth="1"/>
    <col min="10744" max="10744" width="4" bestFit="1" customWidth="1"/>
    <col min="10745" max="10745" width="47.7109375" bestFit="1" customWidth="1"/>
    <col min="10746" max="10746" width="39.5703125" customWidth="1"/>
    <col min="10747" max="10747" width="37" customWidth="1"/>
    <col min="10748" max="10748" width="36.7109375" customWidth="1"/>
    <col min="10749" max="10753" width="20.140625" bestFit="1" customWidth="1"/>
    <col min="10754" max="10754" width="12.7109375" bestFit="1" customWidth="1"/>
    <col min="10755" max="10997" width="11.5703125"/>
    <col min="10998" max="10998" width="10" customWidth="1"/>
    <col min="10999" max="10999" width="5.85546875" customWidth="1"/>
    <col min="11000" max="11000" width="4" bestFit="1" customWidth="1"/>
    <col min="11001" max="11001" width="47.7109375" bestFit="1" customWidth="1"/>
    <col min="11002" max="11002" width="39.5703125" customWidth="1"/>
    <col min="11003" max="11003" width="37" customWidth="1"/>
    <col min="11004" max="11004" width="36.7109375" customWidth="1"/>
    <col min="11005" max="11009" width="20.140625" bestFit="1" customWidth="1"/>
    <col min="11010" max="11010" width="12.7109375" bestFit="1" customWidth="1"/>
    <col min="11011" max="11253" width="11.5703125"/>
    <col min="11254" max="11254" width="10" customWidth="1"/>
    <col min="11255" max="11255" width="5.85546875" customWidth="1"/>
    <col min="11256" max="11256" width="4" bestFit="1" customWidth="1"/>
    <col min="11257" max="11257" width="47.7109375" bestFit="1" customWidth="1"/>
    <col min="11258" max="11258" width="39.5703125" customWidth="1"/>
    <col min="11259" max="11259" width="37" customWidth="1"/>
    <col min="11260" max="11260" width="36.7109375" customWidth="1"/>
    <col min="11261" max="11265" width="20.140625" bestFit="1" customWidth="1"/>
    <col min="11266" max="11266" width="12.7109375" bestFit="1" customWidth="1"/>
    <col min="11267" max="11509" width="11.5703125"/>
    <col min="11510" max="11510" width="10" customWidth="1"/>
    <col min="11511" max="11511" width="5.85546875" customWidth="1"/>
    <col min="11512" max="11512" width="4" bestFit="1" customWidth="1"/>
    <col min="11513" max="11513" width="47.7109375" bestFit="1" customWidth="1"/>
    <col min="11514" max="11514" width="39.5703125" customWidth="1"/>
    <col min="11515" max="11515" width="37" customWidth="1"/>
    <col min="11516" max="11516" width="36.7109375" customWidth="1"/>
    <col min="11517" max="11521" width="20.140625" bestFit="1" customWidth="1"/>
    <col min="11522" max="11522" width="12.7109375" bestFit="1" customWidth="1"/>
    <col min="11523" max="11765" width="11.5703125"/>
    <col min="11766" max="11766" width="10" customWidth="1"/>
    <col min="11767" max="11767" width="5.85546875" customWidth="1"/>
    <col min="11768" max="11768" width="4" bestFit="1" customWidth="1"/>
    <col min="11769" max="11769" width="47.7109375" bestFit="1" customWidth="1"/>
    <col min="11770" max="11770" width="39.5703125" customWidth="1"/>
    <col min="11771" max="11771" width="37" customWidth="1"/>
    <col min="11772" max="11772" width="36.7109375" customWidth="1"/>
    <col min="11773" max="11777" width="20.140625" bestFit="1" customWidth="1"/>
    <col min="11778" max="11778" width="12.7109375" bestFit="1" customWidth="1"/>
    <col min="11779" max="12021" width="11.5703125"/>
    <col min="12022" max="12022" width="10" customWidth="1"/>
    <col min="12023" max="12023" width="5.85546875" customWidth="1"/>
    <col min="12024" max="12024" width="4" bestFit="1" customWidth="1"/>
    <col min="12025" max="12025" width="47.7109375" bestFit="1" customWidth="1"/>
    <col min="12026" max="12026" width="39.5703125" customWidth="1"/>
    <col min="12027" max="12027" width="37" customWidth="1"/>
    <col min="12028" max="12028" width="36.7109375" customWidth="1"/>
    <col min="12029" max="12033" width="20.140625" bestFit="1" customWidth="1"/>
    <col min="12034" max="12034" width="12.7109375" bestFit="1" customWidth="1"/>
    <col min="12035" max="12277" width="11.5703125"/>
    <col min="12278" max="12278" width="10" customWidth="1"/>
    <col min="12279" max="12279" width="5.85546875" customWidth="1"/>
    <col min="12280" max="12280" width="4" bestFit="1" customWidth="1"/>
    <col min="12281" max="12281" width="47.7109375" bestFit="1" customWidth="1"/>
    <col min="12282" max="12282" width="39.5703125" customWidth="1"/>
    <col min="12283" max="12283" width="37" customWidth="1"/>
    <col min="12284" max="12284" width="36.7109375" customWidth="1"/>
    <col min="12285" max="12289" width="20.140625" bestFit="1" customWidth="1"/>
    <col min="12290" max="12290" width="12.7109375" bestFit="1" customWidth="1"/>
    <col min="12291" max="12533" width="11.5703125"/>
    <col min="12534" max="12534" width="10" customWidth="1"/>
    <col min="12535" max="12535" width="5.85546875" customWidth="1"/>
    <col min="12536" max="12536" width="4" bestFit="1" customWidth="1"/>
    <col min="12537" max="12537" width="47.7109375" bestFit="1" customWidth="1"/>
    <col min="12538" max="12538" width="39.5703125" customWidth="1"/>
    <col min="12539" max="12539" width="37" customWidth="1"/>
    <col min="12540" max="12540" width="36.7109375" customWidth="1"/>
    <col min="12541" max="12545" width="20.140625" bestFit="1" customWidth="1"/>
    <col min="12546" max="12546" width="12.7109375" bestFit="1" customWidth="1"/>
    <col min="12547" max="12789" width="11.5703125"/>
    <col min="12790" max="12790" width="10" customWidth="1"/>
    <col min="12791" max="12791" width="5.85546875" customWidth="1"/>
    <col min="12792" max="12792" width="4" bestFit="1" customWidth="1"/>
    <col min="12793" max="12793" width="47.7109375" bestFit="1" customWidth="1"/>
    <col min="12794" max="12794" width="39.5703125" customWidth="1"/>
    <col min="12795" max="12795" width="37" customWidth="1"/>
    <col min="12796" max="12796" width="36.7109375" customWidth="1"/>
    <col min="12797" max="12801" width="20.140625" bestFit="1" customWidth="1"/>
    <col min="12802" max="12802" width="12.7109375" bestFit="1" customWidth="1"/>
    <col min="12803" max="13045" width="11.5703125"/>
    <col min="13046" max="13046" width="10" customWidth="1"/>
    <col min="13047" max="13047" width="5.85546875" customWidth="1"/>
    <col min="13048" max="13048" width="4" bestFit="1" customWidth="1"/>
    <col min="13049" max="13049" width="47.7109375" bestFit="1" customWidth="1"/>
    <col min="13050" max="13050" width="39.5703125" customWidth="1"/>
    <col min="13051" max="13051" width="37" customWidth="1"/>
    <col min="13052" max="13052" width="36.7109375" customWidth="1"/>
    <col min="13053" max="13057" width="20.140625" bestFit="1" customWidth="1"/>
    <col min="13058" max="13058" width="12.7109375" bestFit="1" customWidth="1"/>
    <col min="13059" max="13301" width="11.5703125"/>
    <col min="13302" max="13302" width="10" customWidth="1"/>
    <col min="13303" max="13303" width="5.85546875" customWidth="1"/>
    <col min="13304" max="13304" width="4" bestFit="1" customWidth="1"/>
    <col min="13305" max="13305" width="47.7109375" bestFit="1" customWidth="1"/>
    <col min="13306" max="13306" width="39.5703125" customWidth="1"/>
    <col min="13307" max="13307" width="37" customWidth="1"/>
    <col min="13308" max="13308" width="36.7109375" customWidth="1"/>
    <col min="13309" max="13313" width="20.140625" bestFit="1" customWidth="1"/>
    <col min="13314" max="13314" width="12.7109375" bestFit="1" customWidth="1"/>
    <col min="13315" max="13557" width="11.5703125"/>
    <col min="13558" max="13558" width="10" customWidth="1"/>
    <col min="13559" max="13559" width="5.85546875" customWidth="1"/>
    <col min="13560" max="13560" width="4" bestFit="1" customWidth="1"/>
    <col min="13561" max="13561" width="47.7109375" bestFit="1" customWidth="1"/>
    <col min="13562" max="13562" width="39.5703125" customWidth="1"/>
    <col min="13563" max="13563" width="37" customWidth="1"/>
    <col min="13564" max="13564" width="36.7109375" customWidth="1"/>
    <col min="13565" max="13569" width="20.140625" bestFit="1" customWidth="1"/>
    <col min="13570" max="13570" width="12.7109375" bestFit="1" customWidth="1"/>
    <col min="13571" max="13813" width="11.5703125"/>
    <col min="13814" max="13814" width="10" customWidth="1"/>
    <col min="13815" max="13815" width="5.85546875" customWidth="1"/>
    <col min="13816" max="13816" width="4" bestFit="1" customWidth="1"/>
    <col min="13817" max="13817" width="47.7109375" bestFit="1" customWidth="1"/>
    <col min="13818" max="13818" width="39.5703125" customWidth="1"/>
    <col min="13819" max="13819" width="37" customWidth="1"/>
    <col min="13820" max="13820" width="36.7109375" customWidth="1"/>
    <col min="13821" max="13825" width="20.140625" bestFit="1" customWidth="1"/>
    <col min="13826" max="13826" width="12.7109375" bestFit="1" customWidth="1"/>
    <col min="13827" max="14069" width="11.5703125"/>
    <col min="14070" max="14070" width="10" customWidth="1"/>
    <col min="14071" max="14071" width="5.85546875" customWidth="1"/>
    <col min="14072" max="14072" width="4" bestFit="1" customWidth="1"/>
    <col min="14073" max="14073" width="47.7109375" bestFit="1" customWidth="1"/>
    <col min="14074" max="14074" width="39.5703125" customWidth="1"/>
    <col min="14075" max="14075" width="37" customWidth="1"/>
    <col min="14076" max="14076" width="36.7109375" customWidth="1"/>
    <col min="14077" max="14081" width="20.140625" bestFit="1" customWidth="1"/>
    <col min="14082" max="14082" width="12.7109375" bestFit="1" customWidth="1"/>
    <col min="14083" max="14325" width="11.5703125"/>
    <col min="14326" max="14326" width="10" customWidth="1"/>
    <col min="14327" max="14327" width="5.85546875" customWidth="1"/>
    <col min="14328" max="14328" width="4" bestFit="1" customWidth="1"/>
    <col min="14329" max="14329" width="47.7109375" bestFit="1" customWidth="1"/>
    <col min="14330" max="14330" width="39.5703125" customWidth="1"/>
    <col min="14331" max="14331" width="37" customWidth="1"/>
    <col min="14332" max="14332" width="36.7109375" customWidth="1"/>
    <col min="14333" max="14337" width="20.140625" bestFit="1" customWidth="1"/>
    <col min="14338" max="14338" width="12.7109375" bestFit="1" customWidth="1"/>
    <col min="14339" max="14581" width="11.5703125"/>
    <col min="14582" max="14582" width="10" customWidth="1"/>
    <col min="14583" max="14583" width="5.85546875" customWidth="1"/>
    <col min="14584" max="14584" width="4" bestFit="1" customWidth="1"/>
    <col min="14585" max="14585" width="47.7109375" bestFit="1" customWidth="1"/>
    <col min="14586" max="14586" width="39.5703125" customWidth="1"/>
    <col min="14587" max="14587" width="37" customWidth="1"/>
    <col min="14588" max="14588" width="36.7109375" customWidth="1"/>
    <col min="14589" max="14593" width="20.140625" bestFit="1" customWidth="1"/>
    <col min="14594" max="14594" width="12.7109375" bestFit="1" customWidth="1"/>
    <col min="14595" max="14837" width="11.5703125"/>
    <col min="14838" max="14838" width="10" customWidth="1"/>
    <col min="14839" max="14839" width="5.85546875" customWidth="1"/>
    <col min="14840" max="14840" width="4" bestFit="1" customWidth="1"/>
    <col min="14841" max="14841" width="47.7109375" bestFit="1" customWidth="1"/>
    <col min="14842" max="14842" width="39.5703125" customWidth="1"/>
    <col min="14843" max="14843" width="37" customWidth="1"/>
    <col min="14844" max="14844" width="36.7109375" customWidth="1"/>
    <col min="14845" max="14849" width="20.140625" bestFit="1" customWidth="1"/>
    <col min="14850" max="14850" width="12.7109375" bestFit="1" customWidth="1"/>
    <col min="14851" max="15093" width="11.5703125"/>
    <col min="15094" max="15094" width="10" customWidth="1"/>
    <col min="15095" max="15095" width="5.85546875" customWidth="1"/>
    <col min="15096" max="15096" width="4" bestFit="1" customWidth="1"/>
    <col min="15097" max="15097" width="47.7109375" bestFit="1" customWidth="1"/>
    <col min="15098" max="15098" width="39.5703125" customWidth="1"/>
    <col min="15099" max="15099" width="37" customWidth="1"/>
    <col min="15100" max="15100" width="36.7109375" customWidth="1"/>
    <col min="15101" max="15105" width="20.140625" bestFit="1" customWidth="1"/>
    <col min="15106" max="15106" width="12.7109375" bestFit="1" customWidth="1"/>
    <col min="15107" max="15349" width="11.5703125"/>
    <col min="15350" max="15350" width="10" customWidth="1"/>
    <col min="15351" max="15351" width="5.85546875" customWidth="1"/>
    <col min="15352" max="15352" width="4" bestFit="1" customWidth="1"/>
    <col min="15353" max="15353" width="47.7109375" bestFit="1" customWidth="1"/>
    <col min="15354" max="15354" width="39.5703125" customWidth="1"/>
    <col min="15355" max="15355" width="37" customWidth="1"/>
    <col min="15356" max="15356" width="36.7109375" customWidth="1"/>
    <col min="15357" max="15361" width="20.140625" bestFit="1" customWidth="1"/>
    <col min="15362" max="15362" width="12.7109375" bestFit="1" customWidth="1"/>
    <col min="15363" max="15605" width="11.5703125"/>
    <col min="15606" max="15606" width="10" customWidth="1"/>
    <col min="15607" max="15607" width="5.85546875" customWidth="1"/>
    <col min="15608" max="15608" width="4" bestFit="1" customWidth="1"/>
    <col min="15609" max="15609" width="47.7109375" bestFit="1" customWidth="1"/>
    <col min="15610" max="15610" width="39.5703125" customWidth="1"/>
    <col min="15611" max="15611" width="37" customWidth="1"/>
    <col min="15612" max="15612" width="36.7109375" customWidth="1"/>
    <col min="15613" max="15617" width="20.140625" bestFit="1" customWidth="1"/>
    <col min="15618" max="15618" width="12.7109375" bestFit="1" customWidth="1"/>
    <col min="15619" max="15861" width="11.5703125"/>
    <col min="15862" max="15862" width="10" customWidth="1"/>
    <col min="15863" max="15863" width="5.85546875" customWidth="1"/>
    <col min="15864" max="15864" width="4" bestFit="1" customWidth="1"/>
    <col min="15865" max="15865" width="47.7109375" bestFit="1" customWidth="1"/>
    <col min="15866" max="15866" width="39.5703125" customWidth="1"/>
    <col min="15867" max="15867" width="37" customWidth="1"/>
    <col min="15868" max="15868" width="36.7109375" customWidth="1"/>
    <col min="15869" max="15873" width="20.140625" bestFit="1" customWidth="1"/>
    <col min="15874" max="15874" width="12.7109375" bestFit="1" customWidth="1"/>
    <col min="15875" max="16117" width="11.5703125"/>
    <col min="16118" max="16118" width="10" customWidth="1"/>
    <col min="16119" max="16119" width="5.85546875" customWidth="1"/>
    <col min="16120" max="16120" width="4" bestFit="1" customWidth="1"/>
    <col min="16121" max="16121" width="47.7109375" bestFit="1" customWidth="1"/>
    <col min="16122" max="16122" width="39.5703125" customWidth="1"/>
    <col min="16123" max="16123" width="37" customWidth="1"/>
    <col min="16124" max="16124" width="36.7109375" customWidth="1"/>
    <col min="16125" max="16129" width="20.140625" bestFit="1" customWidth="1"/>
    <col min="16130" max="16130" width="12.7109375" bestFit="1" customWidth="1"/>
    <col min="16131" max="16384" width="11.5703125"/>
  </cols>
  <sheetData>
    <row r="1" spans="1:2" ht="13.9" customHeight="1" x14ac:dyDescent="0.2">
      <c r="A1" s="9" t="s">
        <v>66</v>
      </c>
      <c r="B1" s="9" t="s">
        <v>111</v>
      </c>
    </row>
    <row r="2" spans="1:2" ht="13.9" customHeight="1" x14ac:dyDescent="0.2">
      <c r="A2" s="9" t="s">
        <v>67</v>
      </c>
      <c r="B2" s="9" t="s">
        <v>112</v>
      </c>
    </row>
    <row r="3" spans="1:2" ht="13.9" customHeight="1" x14ac:dyDescent="0.2">
      <c r="A3" s="9" t="s">
        <v>68</v>
      </c>
      <c r="B3" s="9" t="s">
        <v>113</v>
      </c>
    </row>
    <row r="4" spans="1:2" ht="13.9" customHeight="1" x14ac:dyDescent="0.2">
      <c r="A4" s="9" t="s">
        <v>67</v>
      </c>
      <c r="B4" s="9" t="s">
        <v>112</v>
      </c>
    </row>
    <row r="5" spans="1:2" ht="13.9" customHeight="1" x14ac:dyDescent="0.2">
      <c r="A5" s="9" t="s">
        <v>69</v>
      </c>
      <c r="B5" s="9" t="s">
        <v>114</v>
      </c>
    </row>
    <row r="6" spans="1:2" ht="13.9" customHeight="1" x14ac:dyDescent="0.2">
      <c r="A6" s="9" t="s">
        <v>70</v>
      </c>
      <c r="B6" s="9" t="s">
        <v>115</v>
      </c>
    </row>
    <row r="7" spans="1:2" ht="13.9" customHeight="1" x14ac:dyDescent="0.2">
      <c r="A7" s="9" t="s">
        <v>71</v>
      </c>
      <c r="B7" s="9" t="s">
        <v>116</v>
      </c>
    </row>
    <row r="8" spans="1:2" ht="13.9" customHeight="1" x14ac:dyDescent="0.2">
      <c r="A8" s="9" t="s">
        <v>66</v>
      </c>
      <c r="B8" s="9" t="s">
        <v>111</v>
      </c>
    </row>
    <row r="9" spans="1:2" ht="13.9" customHeight="1" x14ac:dyDescent="0.2">
      <c r="A9" s="9" t="s">
        <v>294</v>
      </c>
      <c r="B9" s="9" t="s">
        <v>296</v>
      </c>
    </row>
    <row r="10" spans="1:2" ht="13.9" customHeight="1" x14ac:dyDescent="0.2">
      <c r="A10" s="9" t="s">
        <v>12</v>
      </c>
      <c r="B10" s="9" t="s">
        <v>186</v>
      </c>
    </row>
    <row r="11" spans="1:2" ht="13.9" customHeight="1" x14ac:dyDescent="0.2">
      <c r="A11" s="9" t="s">
        <v>207</v>
      </c>
      <c r="B11" s="9" t="s">
        <v>207</v>
      </c>
    </row>
    <row r="12" spans="1:2" ht="13.9" customHeight="1" x14ac:dyDescent="0.2">
      <c r="A12" s="9" t="s">
        <v>204</v>
      </c>
      <c r="B12" s="9" t="s">
        <v>204</v>
      </c>
    </row>
    <row r="13" spans="1:2" ht="13.9" customHeight="1" x14ac:dyDescent="0.2">
      <c r="A13" s="9" t="s">
        <v>159</v>
      </c>
      <c r="B13" s="9" t="s">
        <v>187</v>
      </c>
    </row>
    <row r="14" spans="1:2" ht="13.9" customHeight="1" x14ac:dyDescent="0.2">
      <c r="A14" s="9" t="s">
        <v>205</v>
      </c>
      <c r="B14" s="9" t="s">
        <v>209</v>
      </c>
    </row>
    <row r="15" spans="1:2" ht="13.9" customHeight="1" x14ac:dyDescent="0.2">
      <c r="A15" s="9" t="s">
        <v>160</v>
      </c>
      <c r="B15" s="9" t="s">
        <v>188</v>
      </c>
    </row>
    <row r="16" spans="1:2" ht="13.9" customHeight="1" x14ac:dyDescent="0.2">
      <c r="A16" s="9" t="s">
        <v>206</v>
      </c>
      <c r="B16" s="9" t="s">
        <v>210</v>
      </c>
    </row>
    <row r="17" spans="1:2" ht="13.9" customHeight="1" x14ac:dyDescent="0.2">
      <c r="A17" s="9" t="s">
        <v>225</v>
      </c>
      <c r="B17" s="9" t="s">
        <v>211</v>
      </c>
    </row>
    <row r="18" spans="1:2" ht="13.9" customHeight="1" x14ac:dyDescent="0.2">
      <c r="A18" s="9" t="s">
        <v>226</v>
      </c>
      <c r="B18" s="9" t="s">
        <v>212</v>
      </c>
    </row>
    <row r="19" spans="1:2" ht="13.9" customHeight="1" x14ac:dyDescent="0.2">
      <c r="A19" s="9" t="s">
        <v>128</v>
      </c>
      <c r="B19" s="9" t="s">
        <v>185</v>
      </c>
    </row>
    <row r="20" spans="1:2" ht="13.9" customHeight="1" x14ac:dyDescent="0.2">
      <c r="A20" s="9" t="s">
        <v>213</v>
      </c>
      <c r="B20" s="9" t="s">
        <v>213</v>
      </c>
    </row>
    <row r="21" spans="1:2" ht="13.9" customHeight="1" x14ac:dyDescent="0.2">
      <c r="A21" s="9" t="s">
        <v>214</v>
      </c>
      <c r="B21" s="9" t="s">
        <v>214</v>
      </c>
    </row>
    <row r="22" spans="1:2" ht="13.9" customHeight="1" x14ac:dyDescent="0.2">
      <c r="A22" s="9" t="s">
        <v>129</v>
      </c>
      <c r="B22" s="9" t="s">
        <v>189</v>
      </c>
    </row>
    <row r="23" spans="1:2" ht="13.9" customHeight="1" x14ac:dyDescent="0.2">
      <c r="A23" s="9" t="s">
        <v>207</v>
      </c>
      <c r="B23" s="9" t="s">
        <v>207</v>
      </c>
    </row>
    <row r="24" spans="1:2" ht="13.9" customHeight="1" x14ac:dyDescent="0.2">
      <c r="A24" s="9" t="s">
        <v>130</v>
      </c>
      <c r="B24" s="9" t="s">
        <v>190</v>
      </c>
    </row>
    <row r="25" spans="1:2" ht="13.9" customHeight="1" x14ac:dyDescent="0.2">
      <c r="A25" s="9" t="s">
        <v>207</v>
      </c>
      <c r="B25" s="9" t="s">
        <v>207</v>
      </c>
    </row>
    <row r="26" spans="1:2" ht="13.9" customHeight="1" x14ac:dyDescent="0.2">
      <c r="A26" s="9" t="s">
        <v>131</v>
      </c>
      <c r="B26" s="9" t="s">
        <v>191</v>
      </c>
    </row>
    <row r="27" spans="1:2" ht="13.9" customHeight="1" x14ac:dyDescent="0.2">
      <c r="A27" s="9" t="s">
        <v>227</v>
      </c>
      <c r="B27" s="9" t="s">
        <v>215</v>
      </c>
    </row>
    <row r="28" spans="1:2" ht="13.9" customHeight="1" x14ac:dyDescent="0.2">
      <c r="A28" s="9" t="s">
        <v>132</v>
      </c>
      <c r="B28" s="9" t="s">
        <v>136</v>
      </c>
    </row>
    <row r="29" spans="1:2" ht="13.9" customHeight="1" x14ac:dyDescent="0.2">
      <c r="A29" s="9" t="s">
        <v>203</v>
      </c>
      <c r="B29" s="9" t="s">
        <v>216</v>
      </c>
    </row>
    <row r="30" spans="1:2" ht="13.9" customHeight="1" x14ac:dyDescent="0.2">
      <c r="A30" s="9" t="s">
        <v>228</v>
      </c>
      <c r="B30" s="9" t="s">
        <v>217</v>
      </c>
    </row>
    <row r="31" spans="1:2" ht="13.9" customHeight="1" x14ac:dyDescent="0.2">
      <c r="A31" s="9" t="s">
        <v>133</v>
      </c>
      <c r="B31" s="9" t="s">
        <v>192</v>
      </c>
    </row>
    <row r="32" spans="1:2" ht="13.9" customHeight="1" x14ac:dyDescent="0.2">
      <c r="A32" s="9" t="s">
        <v>229</v>
      </c>
      <c r="B32" s="9" t="s">
        <v>216</v>
      </c>
    </row>
    <row r="33" spans="1:2" ht="13.9" customHeight="1" x14ac:dyDescent="0.2">
      <c r="A33" s="9" t="s">
        <v>230</v>
      </c>
      <c r="B33" s="9" t="s">
        <v>218</v>
      </c>
    </row>
    <row r="34" spans="1:2" ht="13.9" customHeight="1" x14ac:dyDescent="0.2">
      <c r="A34" s="9" t="s">
        <v>231</v>
      </c>
      <c r="B34" s="9" t="s">
        <v>217</v>
      </c>
    </row>
    <row r="35" spans="1:2" ht="13.9" customHeight="1" x14ac:dyDescent="0.2">
      <c r="A35" s="9" t="s">
        <v>232</v>
      </c>
      <c r="B35" s="9" t="s">
        <v>219</v>
      </c>
    </row>
    <row r="36" spans="1:2" ht="13.9" customHeight="1" x14ac:dyDescent="0.2">
      <c r="A36" s="9" t="s">
        <v>138</v>
      </c>
      <c r="B36" s="9" t="s">
        <v>193</v>
      </c>
    </row>
    <row r="37" spans="1:2" ht="13.9" customHeight="1" x14ac:dyDescent="0.2">
      <c r="A37" s="9" t="s">
        <v>220</v>
      </c>
      <c r="B37" s="9" t="s">
        <v>220</v>
      </c>
    </row>
    <row r="38" spans="1:2" ht="13.9" customHeight="1" x14ac:dyDescent="0.2">
      <c r="A38" s="9" t="s">
        <v>233</v>
      </c>
      <c r="B38" s="9" t="s">
        <v>221</v>
      </c>
    </row>
    <row r="39" spans="1:2" ht="13.9" customHeight="1" x14ac:dyDescent="0.2">
      <c r="A39" s="9" t="s">
        <v>234</v>
      </c>
      <c r="B39" s="9" t="s">
        <v>222</v>
      </c>
    </row>
    <row r="40" spans="1:2" ht="13.9" customHeight="1" x14ac:dyDescent="0.2">
      <c r="A40" s="9" t="s">
        <v>235</v>
      </c>
      <c r="B40" s="9" t="s">
        <v>223</v>
      </c>
    </row>
    <row r="41" spans="1:2" ht="13.9" customHeight="1" x14ac:dyDescent="0.2">
      <c r="A41" s="9" t="s">
        <v>127</v>
      </c>
      <c r="B41" s="9" t="s">
        <v>184</v>
      </c>
    </row>
    <row r="42" spans="1:2" ht="13.9" customHeight="1" x14ac:dyDescent="0.2">
      <c r="A42" s="9" t="s">
        <v>236</v>
      </c>
      <c r="B42" s="9" t="s">
        <v>224</v>
      </c>
    </row>
    <row r="43" spans="1:2" ht="13.9" customHeight="1" x14ac:dyDescent="0.2">
      <c r="A43" s="9" t="s">
        <v>72</v>
      </c>
      <c r="B43" s="9" t="s">
        <v>194</v>
      </c>
    </row>
    <row r="44" spans="1:2" ht="13.9" customHeight="1" x14ac:dyDescent="0.2">
      <c r="A44" s="9" t="s">
        <v>73</v>
      </c>
      <c r="B44" s="9" t="s">
        <v>195</v>
      </c>
    </row>
    <row r="45" spans="1:2" ht="13.9" customHeight="1" x14ac:dyDescent="0.2">
      <c r="A45" s="9" t="s">
        <v>75</v>
      </c>
      <c r="B45" s="9" t="s">
        <v>118</v>
      </c>
    </row>
    <row r="46" spans="1:2" ht="13.9" customHeight="1" x14ac:dyDescent="0.2">
      <c r="A46" s="9" t="s">
        <v>135</v>
      </c>
      <c r="B46" s="9" t="s">
        <v>239</v>
      </c>
    </row>
    <row r="47" spans="1:2" ht="13.9" customHeight="1" x14ac:dyDescent="0.2">
      <c r="A47" s="9" t="s">
        <v>74</v>
      </c>
      <c r="B47" s="9" t="s">
        <v>117</v>
      </c>
    </row>
    <row r="48" spans="1:2" ht="13.9" customHeight="1" x14ac:dyDescent="0.2">
      <c r="A48" s="9" t="s">
        <v>155</v>
      </c>
      <c r="B48" s="9" t="s">
        <v>170</v>
      </c>
    </row>
    <row r="49" spans="1:5" ht="13.9" customHeight="1" x14ac:dyDescent="0.2">
      <c r="A49" s="9" t="s">
        <v>76</v>
      </c>
      <c r="B49" s="9" t="s">
        <v>119</v>
      </c>
    </row>
    <row r="50" spans="1:5" ht="13.9" customHeight="1" x14ac:dyDescent="0.2">
      <c r="A50" s="9" t="s">
        <v>154</v>
      </c>
      <c r="B50" s="9" t="s">
        <v>171</v>
      </c>
    </row>
    <row r="51" spans="1:5" ht="13.9" customHeight="1" x14ac:dyDescent="0.2">
      <c r="A51" s="9" t="s">
        <v>134</v>
      </c>
      <c r="B51" t="s">
        <v>172</v>
      </c>
    </row>
    <row r="52" spans="1:5" ht="13.9" customHeight="1" x14ac:dyDescent="0.2">
      <c r="A52" s="9" t="s">
        <v>70</v>
      </c>
      <c r="B52" s="9" t="s">
        <v>115</v>
      </c>
      <c r="E52" s="1"/>
    </row>
    <row r="53" spans="1:5" ht="13.9" customHeight="1" x14ac:dyDescent="0.2">
      <c r="A53" s="9" t="s">
        <v>247</v>
      </c>
      <c r="B53" s="9" t="s">
        <v>248</v>
      </c>
      <c r="E53" s="1"/>
    </row>
    <row r="54" spans="1:5" ht="13.9" customHeight="1" x14ac:dyDescent="0.2">
      <c r="A54" s="9" t="s">
        <v>71</v>
      </c>
      <c r="B54" s="9" t="s">
        <v>116</v>
      </c>
    </row>
    <row r="55" spans="1:5" ht="13.9" customHeight="1" x14ac:dyDescent="0.2">
      <c r="A55" s="9" t="s">
        <v>77</v>
      </c>
      <c r="B55" s="9" t="s">
        <v>120</v>
      </c>
    </row>
    <row r="56" spans="1:5" ht="13.9" customHeight="1" x14ac:dyDescent="0.2">
      <c r="A56" s="9" t="s">
        <v>78</v>
      </c>
      <c r="B56" s="9" t="s">
        <v>121</v>
      </c>
    </row>
    <row r="57" spans="1:5" ht="13.9" customHeight="1" x14ac:dyDescent="0.2">
      <c r="A57" s="9" t="s">
        <v>201</v>
      </c>
      <c r="B57" s="9" t="s">
        <v>202</v>
      </c>
    </row>
    <row r="58" spans="1:5" ht="13.9" customHeight="1" x14ac:dyDescent="0.2">
      <c r="A58" s="9" t="s">
        <v>66</v>
      </c>
      <c r="B58" s="9" t="s">
        <v>111</v>
      </c>
    </row>
    <row r="59" spans="1:5" x14ac:dyDescent="0.2">
      <c r="A59" s="9" t="s">
        <v>294</v>
      </c>
      <c r="B59" s="9" t="s">
        <v>295</v>
      </c>
    </row>
    <row r="60" spans="1:5" x14ac:dyDescent="0.2">
      <c r="A60" t="s">
        <v>245</v>
      </c>
      <c r="B60" s="1" t="s">
        <v>246</v>
      </c>
    </row>
    <row r="61" spans="1:5" x14ac:dyDescent="0.2">
      <c r="A61" s="1" t="s">
        <v>71</v>
      </c>
      <c r="B61" s="1" t="s">
        <v>116</v>
      </c>
    </row>
    <row r="64" spans="1:5" ht="63.75" x14ac:dyDescent="0.2">
      <c r="A64" s="67" t="s">
        <v>242</v>
      </c>
      <c r="B64" s="67" t="s">
        <v>243</v>
      </c>
    </row>
    <row r="65" spans="1:2" ht="63.75" x14ac:dyDescent="0.2">
      <c r="A65" s="67" t="s">
        <v>244</v>
      </c>
      <c r="B65" s="67" t="s">
        <v>122</v>
      </c>
    </row>
    <row r="66" spans="1:2" ht="13.9" customHeight="1" x14ac:dyDescent="0.2">
      <c r="A66" s="9" t="s">
        <v>43</v>
      </c>
      <c r="B66" s="9" t="s">
        <v>241</v>
      </c>
    </row>
    <row r="67" spans="1:2" ht="13.9" customHeight="1" x14ac:dyDescent="0.2">
      <c r="A67" s="9" t="s">
        <v>274</v>
      </c>
      <c r="B67" s="9" t="s">
        <v>238</v>
      </c>
    </row>
    <row r="68" spans="1:2" ht="13.9" customHeight="1" x14ac:dyDescent="0.2">
      <c r="A68" s="9" t="s">
        <v>25</v>
      </c>
      <c r="B68" s="9" t="s">
        <v>208</v>
      </c>
    </row>
    <row r="69" spans="1:2" x14ac:dyDescent="0.2">
      <c r="A69" s="68"/>
      <c r="B69" s="68"/>
    </row>
    <row r="70" spans="1:2" ht="13.9" customHeight="1" x14ac:dyDescent="0.2">
      <c r="A70" s="66" t="s">
        <v>0</v>
      </c>
      <c r="B70" s="66" t="s">
        <v>126</v>
      </c>
    </row>
    <row r="71" spans="1:2" ht="13.9" customHeight="1" x14ac:dyDescent="0.2">
      <c r="A71" s="9" t="s">
        <v>1</v>
      </c>
      <c r="B71" s="9" t="s">
        <v>85</v>
      </c>
    </row>
    <row r="72" spans="1:2" ht="13.9" customHeight="1" x14ac:dyDescent="0.2">
      <c r="A72" s="9" t="s">
        <v>2</v>
      </c>
      <c r="B72" s="9" t="s">
        <v>84</v>
      </c>
    </row>
    <row r="73" spans="1:2" ht="13.9" customHeight="1" x14ac:dyDescent="0.2">
      <c r="A73" s="9" t="s">
        <v>3</v>
      </c>
      <c r="B73" s="9" t="s">
        <v>83</v>
      </c>
    </row>
    <row r="74" spans="1:2" ht="13.9" customHeight="1" x14ac:dyDescent="0.2">
      <c r="A74" s="9" t="s">
        <v>4</v>
      </c>
      <c r="B74" s="9" t="s">
        <v>79</v>
      </c>
    </row>
    <row r="75" spans="1:2" ht="13.9" customHeight="1" x14ac:dyDescent="0.2">
      <c r="A75" s="9" t="s">
        <v>5</v>
      </c>
      <c r="B75" s="9" t="s">
        <v>82</v>
      </c>
    </row>
    <row r="76" spans="1:2" ht="13.9" customHeight="1" x14ac:dyDescent="0.2">
      <c r="A76" s="9" t="s">
        <v>11</v>
      </c>
      <c r="B76" s="9" t="s">
        <v>80</v>
      </c>
    </row>
    <row r="77" spans="1:2" ht="13.9" customHeight="1" x14ac:dyDescent="0.2">
      <c r="A77" s="9" t="s">
        <v>124</v>
      </c>
      <c r="B77" s="9" t="s">
        <v>123</v>
      </c>
    </row>
    <row r="78" spans="1:2" ht="13.9" customHeight="1" x14ac:dyDescent="0.2">
      <c r="A78" s="9" t="s">
        <v>6</v>
      </c>
      <c r="B78" s="9" t="s">
        <v>81</v>
      </c>
    </row>
    <row r="79" spans="1:2" ht="13.9" customHeight="1" x14ac:dyDescent="0.2">
      <c r="A79" s="9" t="s">
        <v>7</v>
      </c>
      <c r="B79" s="9" t="s">
        <v>86</v>
      </c>
    </row>
    <row r="80" spans="1:2" ht="13.9" customHeight="1" x14ac:dyDescent="0.2">
      <c r="A80" s="9" t="s">
        <v>16</v>
      </c>
      <c r="B80" s="9" t="s">
        <v>89</v>
      </c>
    </row>
    <row r="81" spans="1:2" ht="13.9" customHeight="1" x14ac:dyDescent="0.2">
      <c r="A81" s="9" t="s">
        <v>17</v>
      </c>
      <c r="B81" s="9" t="s">
        <v>87</v>
      </c>
    </row>
    <row r="82" spans="1:2" ht="13.9" customHeight="1" x14ac:dyDescent="0.2">
      <c r="A82" s="9" t="s">
        <v>18</v>
      </c>
      <c r="B82" s="9" t="s">
        <v>88</v>
      </c>
    </row>
    <row r="83" spans="1:2" ht="13.9" customHeight="1" x14ac:dyDescent="0.2">
      <c r="A83" s="9" t="s">
        <v>19</v>
      </c>
      <c r="B83" s="9" t="s">
        <v>90</v>
      </c>
    </row>
    <row r="84" spans="1:2" ht="13.9" customHeight="1" x14ac:dyDescent="0.2">
      <c r="A84" s="9" t="s">
        <v>8</v>
      </c>
      <c r="B84" s="9" t="s">
        <v>91</v>
      </c>
    </row>
    <row r="85" spans="1:2" ht="13.9" customHeight="1" x14ac:dyDescent="0.2">
      <c r="A85" s="9" t="s">
        <v>20</v>
      </c>
      <c r="B85" s="9" t="s">
        <v>92</v>
      </c>
    </row>
    <row r="86" spans="1:2" ht="13.9" customHeight="1" x14ac:dyDescent="0.2">
      <c r="A86" s="9" t="s">
        <v>9</v>
      </c>
      <c r="B86" s="9" t="s">
        <v>93</v>
      </c>
    </row>
    <row r="87" spans="1:2" ht="13.9" customHeight="1" x14ac:dyDescent="0.2">
      <c r="A87" s="9" t="s">
        <v>21</v>
      </c>
      <c r="B87" s="9" t="s">
        <v>94</v>
      </c>
    </row>
    <row r="88" spans="1:2" ht="13.9" customHeight="1" x14ac:dyDescent="0.2">
      <c r="A88" s="9" t="s">
        <v>24</v>
      </c>
      <c r="B88" s="9" t="s">
        <v>95</v>
      </c>
    </row>
    <row r="89" spans="1:2" ht="13.9" customHeight="1" x14ac:dyDescent="0.2">
      <c r="A89" s="9" t="s">
        <v>22</v>
      </c>
      <c r="B89" s="9" t="s">
        <v>96</v>
      </c>
    </row>
    <row r="90" spans="1:2" ht="13.9" customHeight="1" x14ac:dyDescent="0.2">
      <c r="A90" s="9" t="s">
        <v>23</v>
      </c>
      <c r="B90" s="9" t="s">
        <v>97</v>
      </c>
    </row>
    <row r="91" spans="1:2" ht="13.9" customHeight="1" x14ac:dyDescent="0.2">
      <c r="A91" s="9" t="s">
        <v>65</v>
      </c>
      <c r="B91" s="9" t="s">
        <v>98</v>
      </c>
    </row>
    <row r="92" spans="1:2" ht="13.9" customHeight="1" x14ac:dyDescent="0.2">
      <c r="A92" s="9" t="s">
        <v>10</v>
      </c>
      <c r="B92" s="9" t="s">
        <v>99</v>
      </c>
    </row>
    <row r="93" spans="1:2" ht="13.9" customHeight="1" x14ac:dyDescent="0.2">
      <c r="A93" s="9"/>
      <c r="B93" s="9" t="s">
        <v>100</v>
      </c>
    </row>
    <row r="94" spans="1:2" x14ac:dyDescent="0.2">
      <c r="A94" s="112" t="s">
        <v>263</v>
      </c>
      <c r="B94" s="112" t="s">
        <v>266</v>
      </c>
    </row>
    <row r="95" spans="1:2" x14ac:dyDescent="0.2">
      <c r="A95" s="112"/>
      <c r="B95" s="112"/>
    </row>
    <row r="96" spans="1:2" ht="13.9" customHeight="1" x14ac:dyDescent="0.2">
      <c r="A96" s="9" t="s">
        <v>254</v>
      </c>
      <c r="B96" s="9" t="s">
        <v>255</v>
      </c>
    </row>
    <row r="97" spans="1:2" ht="13.9" customHeight="1" x14ac:dyDescent="0.2">
      <c r="A97" s="9" t="s">
        <v>261</v>
      </c>
      <c r="B97" s="9" t="s">
        <v>256</v>
      </c>
    </row>
    <row r="98" spans="1:2" ht="13.9" customHeight="1" x14ac:dyDescent="0.2">
      <c r="A98" s="9" t="s">
        <v>262</v>
      </c>
      <c r="B98" s="9" t="s">
        <v>257</v>
      </c>
    </row>
    <row r="99" spans="1:2" ht="13.9" customHeight="1" x14ac:dyDescent="0.2">
      <c r="A99" s="9" t="s">
        <v>260</v>
      </c>
      <c r="B99" s="9" t="s">
        <v>258</v>
      </c>
    </row>
    <row r="100" spans="1:2" ht="13.9" customHeight="1" x14ac:dyDescent="0.2">
      <c r="A100" s="9" t="s">
        <v>259</v>
      </c>
      <c r="B100" s="9" t="s">
        <v>269</v>
      </c>
    </row>
    <row r="101" spans="1:2" ht="13.9" customHeight="1" x14ac:dyDescent="0.2">
      <c r="A101" s="9" t="s">
        <v>70</v>
      </c>
      <c r="B101" s="9" t="s">
        <v>115</v>
      </c>
    </row>
    <row r="102" spans="1:2" ht="13.9" customHeight="1" x14ac:dyDescent="0.2">
      <c r="A102" s="9" t="s">
        <v>71</v>
      </c>
      <c r="B102" s="9" t="s">
        <v>116</v>
      </c>
    </row>
    <row r="103" spans="1:2" ht="13.9" customHeight="1" x14ac:dyDescent="0.2">
      <c r="A103" s="9" t="s">
        <v>270</v>
      </c>
      <c r="B103" s="9" t="s">
        <v>271</v>
      </c>
    </row>
    <row r="104" spans="1:2" ht="13.9" customHeight="1" x14ac:dyDescent="0.2">
      <c r="A104" s="9" t="s">
        <v>38</v>
      </c>
      <c r="B104" s="9" t="s">
        <v>268</v>
      </c>
    </row>
    <row r="105" spans="1:2" ht="13.9" customHeight="1" x14ac:dyDescent="0.2">
      <c r="A105" s="9" t="s">
        <v>267</v>
      </c>
      <c r="B105" s="9" t="s">
        <v>267</v>
      </c>
    </row>
    <row r="106" spans="1:2" ht="13.9" customHeight="1" x14ac:dyDescent="0.2">
      <c r="A106" s="9" t="s">
        <v>273</v>
      </c>
      <c r="B106" s="9" t="s">
        <v>272</v>
      </c>
    </row>
    <row r="107" spans="1:2" ht="13.9" customHeight="1" x14ac:dyDescent="0.2">
      <c r="A107" s="9" t="s">
        <v>263</v>
      </c>
      <c r="B107" s="122" t="s">
        <v>266</v>
      </c>
    </row>
    <row r="108" spans="1:2" ht="13.9" customHeight="1" x14ac:dyDescent="0.2">
      <c r="A108" s="9" t="s">
        <v>264</v>
      </c>
      <c r="B108" s="122" t="s">
        <v>265</v>
      </c>
    </row>
    <row r="109" spans="1:2" ht="13.9" customHeight="1" x14ac:dyDescent="0.2">
      <c r="A109" s="9" t="s">
        <v>60</v>
      </c>
      <c r="B109" s="9" t="s">
        <v>102</v>
      </c>
    </row>
    <row r="110" spans="1:2" ht="13.9" customHeight="1" x14ac:dyDescent="0.2">
      <c r="A110" s="9" t="s">
        <v>61</v>
      </c>
      <c r="B110" s="9" t="s">
        <v>103</v>
      </c>
    </row>
    <row r="111" spans="1:2" ht="13.9" customHeight="1" x14ac:dyDescent="0.2">
      <c r="A111" s="9" t="s">
        <v>63</v>
      </c>
      <c r="B111" s="9" t="s">
        <v>104</v>
      </c>
    </row>
    <row r="112" spans="1:2" ht="13.9" customHeight="1" x14ac:dyDescent="0.2">
      <c r="A112" s="9" t="s">
        <v>13</v>
      </c>
      <c r="B112" s="9" t="s">
        <v>105</v>
      </c>
    </row>
    <row r="113" spans="1:2" ht="13.9" customHeight="1" x14ac:dyDescent="0.2">
      <c r="A113" s="9" t="s">
        <v>15</v>
      </c>
      <c r="B113" s="9" t="s">
        <v>240</v>
      </c>
    </row>
    <row r="114" spans="1:2" ht="13.9" customHeight="1" x14ac:dyDescent="0.2">
      <c r="A114" s="9" t="s">
        <v>28</v>
      </c>
      <c r="B114" s="9" t="s">
        <v>237</v>
      </c>
    </row>
    <row r="115" spans="1:2" ht="13.9" customHeight="1" x14ac:dyDescent="0.2">
      <c r="A115" s="9" t="s">
        <v>62</v>
      </c>
      <c r="B115" s="9" t="s">
        <v>101</v>
      </c>
    </row>
    <row r="117" spans="1:2" ht="13.9" customHeight="1" x14ac:dyDescent="0.2">
      <c r="A117" s="9" t="s">
        <v>14</v>
      </c>
      <c r="B117" s="9" t="s">
        <v>102</v>
      </c>
    </row>
    <row r="118" spans="1:2" ht="13.9" customHeight="1" x14ac:dyDescent="0.2">
      <c r="A118" s="9" t="s">
        <v>26</v>
      </c>
      <c r="B118" s="9" t="s">
        <v>106</v>
      </c>
    </row>
    <row r="119" spans="1:2" ht="13.9" customHeight="1" x14ac:dyDescent="0.2">
      <c r="A119" s="9" t="s">
        <v>27</v>
      </c>
      <c r="B119" s="9" t="s">
        <v>107</v>
      </c>
    </row>
    <row r="120" spans="1:2" ht="13.9" customHeight="1" x14ac:dyDescent="0.2">
      <c r="A120" s="9" t="s">
        <v>30</v>
      </c>
      <c r="B120" s="9" t="s">
        <v>108</v>
      </c>
    </row>
    <row r="121" spans="1:2" ht="13.9" customHeight="1" x14ac:dyDescent="0.2">
      <c r="A121" s="9" t="s">
        <v>31</v>
      </c>
      <c r="B121" s="9" t="s">
        <v>81</v>
      </c>
    </row>
    <row r="122" spans="1:2" ht="13.9" customHeight="1" x14ac:dyDescent="0.2">
      <c r="A122" s="9" t="s">
        <v>32</v>
      </c>
      <c r="B122" s="9" t="s">
        <v>109</v>
      </c>
    </row>
    <row r="123" spans="1:2" ht="13.9" customHeight="1" x14ac:dyDescent="0.2">
      <c r="A123" s="9" t="s">
        <v>31</v>
      </c>
      <c r="B123" s="9" t="s">
        <v>81</v>
      </c>
    </row>
    <row r="124" spans="1:2" ht="13.9" customHeight="1" x14ac:dyDescent="0.2">
      <c r="A124" s="9" t="s">
        <v>33</v>
      </c>
      <c r="B124" s="9" t="s">
        <v>110</v>
      </c>
    </row>
  </sheetData>
  <protectedRanges>
    <protectedRange sqref="A44:B44 B22 B43 A40:B42 B39 A36:B38 B35 A32:B34 B31 A28:B30 B27 A23:B26 B45:B51 A117:B124 A64:B68 E52:E53 B60 A70:B115 A52:B58 A10:B21 A1:B8" name="Bereich1_1"/>
    <protectedRange sqref="A31 A22 A27 A43 A39 A35 A45:A51" name="Bereich1_1_1"/>
  </protectedRanges>
  <pageMargins left="0.7" right="0.7" top="0.78740157499999996" bottom="0.78740157499999996" header="0.3" footer="0.3"/>
  <pageSetup paperSize="9" orientation="portrait" r:id="rId1"/>
  <headerFooter>
    <oddHeader>&amp;RAngebot 11801300, 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1"/>
  <dimension ref="A1:M45"/>
  <sheetViews>
    <sheetView zoomScale="110" zoomScaleNormal="110" workbookViewId="0">
      <selection activeCell="B33" sqref="B33"/>
    </sheetView>
  </sheetViews>
  <sheetFormatPr baseColWidth="10" defaultRowHeight="12.75" x14ac:dyDescent="0.2"/>
  <cols>
    <col min="1" max="1" width="32.28515625" customWidth="1"/>
    <col min="2" max="2" width="30" customWidth="1"/>
    <col min="3" max="3" width="32.28515625" bestFit="1" customWidth="1"/>
    <col min="4" max="4" width="22.42578125" bestFit="1" customWidth="1"/>
    <col min="5" max="6" width="32.28515625" customWidth="1"/>
    <col min="7" max="7" width="32.42578125" bestFit="1" customWidth="1"/>
    <col min="8" max="8" width="40.28515625" bestFit="1" customWidth="1"/>
    <col min="9" max="9" width="38.28515625" bestFit="1" customWidth="1"/>
    <col min="10" max="10" width="32.5703125" bestFit="1" customWidth="1"/>
    <col min="11" max="11" width="32.28515625" bestFit="1" customWidth="1"/>
    <col min="12" max="12" width="12" bestFit="1" customWidth="1"/>
    <col min="13" max="13" width="21.7109375" bestFit="1" customWidth="1"/>
  </cols>
  <sheetData>
    <row r="1" spans="1:13" x14ac:dyDescent="0.2">
      <c r="A1" s="15" t="s">
        <v>12</v>
      </c>
      <c r="B1" s="16" t="s">
        <v>159</v>
      </c>
      <c r="C1" s="16" t="s">
        <v>160</v>
      </c>
      <c r="D1" s="16" t="s">
        <v>128</v>
      </c>
      <c r="E1" s="16" t="s">
        <v>129</v>
      </c>
      <c r="F1" s="16" t="s">
        <v>130</v>
      </c>
      <c r="G1" s="16" t="s">
        <v>131</v>
      </c>
      <c r="H1" s="16" t="s">
        <v>132</v>
      </c>
      <c r="I1" s="16" t="s">
        <v>133</v>
      </c>
      <c r="J1" s="16" t="s">
        <v>138</v>
      </c>
      <c r="K1" s="16" t="s">
        <v>127</v>
      </c>
      <c r="L1" s="16" t="s">
        <v>72</v>
      </c>
      <c r="M1" s="16" t="s">
        <v>73</v>
      </c>
    </row>
    <row r="2" spans="1:13" x14ac:dyDescent="0.2">
      <c r="A2" t="s">
        <v>141</v>
      </c>
      <c r="B2" t="s">
        <v>169</v>
      </c>
      <c r="C2" t="s">
        <v>139</v>
      </c>
      <c r="D2" t="s">
        <v>140</v>
      </c>
      <c r="E2" t="s">
        <v>141</v>
      </c>
      <c r="F2" t="s">
        <v>141</v>
      </c>
      <c r="G2" t="s">
        <v>173</v>
      </c>
      <c r="H2" t="s">
        <v>152</v>
      </c>
      <c r="I2" t="s">
        <v>150</v>
      </c>
      <c r="J2" t="s">
        <v>142</v>
      </c>
      <c r="K2" t="s">
        <v>151</v>
      </c>
    </row>
    <row r="3" spans="1:13" x14ac:dyDescent="0.2">
      <c r="A3" t="s">
        <v>149</v>
      </c>
      <c r="C3" t="s">
        <v>148</v>
      </c>
      <c r="D3" t="s">
        <v>146</v>
      </c>
      <c r="H3" t="s">
        <v>153</v>
      </c>
      <c r="I3" t="s">
        <v>156</v>
      </c>
      <c r="J3" t="s">
        <v>143</v>
      </c>
    </row>
    <row r="4" spans="1:13" x14ac:dyDescent="0.2">
      <c r="C4" t="s">
        <v>147</v>
      </c>
      <c r="I4" t="s">
        <v>157</v>
      </c>
      <c r="J4" t="s">
        <v>144</v>
      </c>
    </row>
    <row r="5" spans="1:13" x14ac:dyDescent="0.2">
      <c r="I5" t="s">
        <v>158</v>
      </c>
      <c r="J5" t="s">
        <v>145</v>
      </c>
    </row>
    <row r="10" spans="1:13" x14ac:dyDescent="0.2">
      <c r="C10" s="16"/>
    </row>
    <row r="11" spans="1:13" ht="13.15" customHeight="1" x14ac:dyDescent="0.2">
      <c r="A11" s="15"/>
      <c r="B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ht="13.15" customHeight="1" x14ac:dyDescent="0.2"/>
    <row r="13" spans="1:13" ht="45.6" customHeight="1" x14ac:dyDescent="0.2"/>
    <row r="15" spans="1:13" ht="25.9" customHeight="1" x14ac:dyDescent="0.2">
      <c r="J15" s="19"/>
    </row>
    <row r="16" spans="1:13" ht="57" customHeight="1" x14ac:dyDescent="0.2"/>
    <row r="20" spans="1:13" x14ac:dyDescent="0.2">
      <c r="A20" s="15" t="s">
        <v>186</v>
      </c>
      <c r="B20" s="16" t="s">
        <v>187</v>
      </c>
      <c r="C20" s="16" t="s">
        <v>188</v>
      </c>
      <c r="D20" s="16" t="s">
        <v>185</v>
      </c>
      <c r="E20" s="16" t="s">
        <v>189</v>
      </c>
      <c r="F20" s="16" t="s">
        <v>190</v>
      </c>
      <c r="G20" s="16" t="s">
        <v>191</v>
      </c>
      <c r="H20" s="16" t="s">
        <v>136</v>
      </c>
      <c r="I20" s="16" t="s">
        <v>192</v>
      </c>
      <c r="J20" s="16" t="s">
        <v>193</v>
      </c>
      <c r="K20" s="16" t="s">
        <v>184</v>
      </c>
      <c r="L20" s="16" t="s">
        <v>194</v>
      </c>
      <c r="M20" s="16" t="s">
        <v>195</v>
      </c>
    </row>
    <row r="21" spans="1:13" x14ac:dyDescent="0.2">
      <c r="A21" t="s">
        <v>141</v>
      </c>
      <c r="B21" t="s">
        <v>197</v>
      </c>
      <c r="C21" t="s">
        <v>175</v>
      </c>
      <c r="D21" t="s">
        <v>140</v>
      </c>
      <c r="E21" t="s">
        <v>141</v>
      </c>
      <c r="F21" t="s">
        <v>141</v>
      </c>
      <c r="G21" t="s">
        <v>198</v>
      </c>
      <c r="H21" t="s">
        <v>178</v>
      </c>
      <c r="I21" t="s">
        <v>178</v>
      </c>
      <c r="J21" t="s">
        <v>142</v>
      </c>
      <c r="K21" t="s">
        <v>196</v>
      </c>
    </row>
    <row r="22" spans="1:13" x14ac:dyDescent="0.2">
      <c r="A22" t="s">
        <v>149</v>
      </c>
      <c r="C22" t="s">
        <v>174</v>
      </c>
      <c r="D22" t="s">
        <v>146</v>
      </c>
      <c r="H22" t="s">
        <v>179</v>
      </c>
      <c r="I22" t="s">
        <v>177</v>
      </c>
      <c r="J22" t="s">
        <v>181</v>
      </c>
    </row>
    <row r="23" spans="1:13" x14ac:dyDescent="0.2">
      <c r="C23" t="s">
        <v>176</v>
      </c>
      <c r="I23" t="s">
        <v>179</v>
      </c>
      <c r="J23" t="s">
        <v>182</v>
      </c>
    </row>
    <row r="24" spans="1:13" x14ac:dyDescent="0.2">
      <c r="I24" t="s">
        <v>180</v>
      </c>
      <c r="J24" t="s">
        <v>183</v>
      </c>
    </row>
    <row r="25" spans="1:13" x14ac:dyDescent="0.2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</row>
    <row r="26" spans="1:13" x14ac:dyDescent="0.2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</row>
    <row r="27" spans="1:13" x14ac:dyDescent="0.2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</row>
    <row r="28" spans="1:13" x14ac:dyDescent="0.2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45" ht="16.149999999999999" customHeight="1" x14ac:dyDescent="0.2"/>
  </sheetData>
  <protectedRanges>
    <protectedRange sqref="A1 A11 A25" name="Bereich1_1"/>
    <protectedRange sqref="A20" name="Bereich1_1_1"/>
  </protectedRange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SPO1">
          <controlPr defaultSize="0" autoLine="0" r:id="rId5">
            <anchor moveWithCells="1">
              <from>
                <xdr:col>3</xdr:col>
                <xdr:colOff>485775</xdr:colOff>
                <xdr:row>15</xdr:row>
                <xdr:rowOff>180975</xdr:rowOff>
              </from>
              <to>
                <xdr:col>3</xdr:col>
                <xdr:colOff>847725</xdr:colOff>
                <xdr:row>15</xdr:row>
                <xdr:rowOff>495300</xdr:rowOff>
              </to>
            </anchor>
          </controlPr>
        </control>
      </mc:Choice>
      <mc:Fallback>
        <control shapeId="6155" r:id="rId4" name="SPO1"/>
      </mc:Fallback>
    </mc:AlternateContent>
    <mc:AlternateContent xmlns:mc="http://schemas.openxmlformats.org/markup-compatibility/2006">
      <mc:Choice Requires="x14">
        <control shapeId="6154" r:id="rId6" name="RUK1">
          <controlPr defaultSize="0" autoLine="0" r:id="rId7">
            <anchor moveWithCells="1">
              <from>
                <xdr:col>2</xdr:col>
                <xdr:colOff>809625</xdr:colOff>
                <xdr:row>15</xdr:row>
                <xdr:rowOff>152400</xdr:rowOff>
              </from>
              <to>
                <xdr:col>2</xdr:col>
                <xdr:colOff>1171575</xdr:colOff>
                <xdr:row>15</xdr:row>
                <xdr:rowOff>466725</xdr:rowOff>
              </to>
            </anchor>
          </controlPr>
        </control>
      </mc:Choice>
      <mc:Fallback>
        <control shapeId="6154" r:id="rId6" name="RUK1"/>
      </mc:Fallback>
    </mc:AlternateContent>
    <mc:AlternateContent xmlns:mc="http://schemas.openxmlformats.org/markup-compatibility/2006">
      <mc:Choice Requires="x14">
        <control shapeId="6153" r:id="rId8" name="FHB1">
          <controlPr defaultSize="0" autoLine="0" r:id="rId9">
            <anchor moveWithCells="1">
              <from>
                <xdr:col>1</xdr:col>
                <xdr:colOff>809625</xdr:colOff>
                <xdr:row>15</xdr:row>
                <xdr:rowOff>152400</xdr:rowOff>
              </from>
              <to>
                <xdr:col>1</xdr:col>
                <xdr:colOff>1171575</xdr:colOff>
                <xdr:row>15</xdr:row>
                <xdr:rowOff>466725</xdr:rowOff>
              </to>
            </anchor>
          </controlPr>
        </control>
      </mc:Choice>
      <mc:Fallback>
        <control shapeId="6153" r:id="rId8" name="FHB1"/>
      </mc:Fallback>
    </mc:AlternateContent>
    <mc:AlternateContent xmlns:mc="http://schemas.openxmlformats.org/markup-compatibility/2006">
      <mc:Choice Requires="x14">
        <control shapeId="6152" r:id="rId10" name="ASW1">
          <controlPr defaultSize="0" autoLine="0" r:id="rId11">
            <anchor moveWithCells="1">
              <from>
                <xdr:col>0</xdr:col>
                <xdr:colOff>809625</xdr:colOff>
                <xdr:row>15</xdr:row>
                <xdr:rowOff>152400</xdr:rowOff>
              </from>
              <to>
                <xdr:col>0</xdr:col>
                <xdr:colOff>1171575</xdr:colOff>
                <xdr:row>15</xdr:row>
                <xdr:rowOff>466725</xdr:rowOff>
              </to>
            </anchor>
          </controlPr>
        </control>
      </mc:Choice>
      <mc:Fallback>
        <control shapeId="6152" r:id="rId10" name="ASW1"/>
      </mc:Fallback>
    </mc:AlternateContent>
    <mc:AlternateContent xmlns:mc="http://schemas.openxmlformats.org/markup-compatibility/2006">
      <mc:Choice Requires="x14">
        <control shapeId="6151" r:id="rId12" name="RFK1">
          <controlPr defaultSize="0" autoLine="0" r:id="rId13">
            <anchor moveWithCells="1">
              <from>
                <xdr:col>8</xdr:col>
                <xdr:colOff>809625</xdr:colOff>
                <xdr:row>15</xdr:row>
                <xdr:rowOff>152400</xdr:rowOff>
              </from>
              <to>
                <xdr:col>8</xdr:col>
                <xdr:colOff>1171575</xdr:colOff>
                <xdr:row>15</xdr:row>
                <xdr:rowOff>466725</xdr:rowOff>
              </to>
            </anchor>
          </controlPr>
        </control>
      </mc:Choice>
      <mc:Fallback>
        <control shapeId="6151" r:id="rId12" name="RFK1"/>
      </mc:Fallback>
    </mc:AlternateContent>
    <mc:AlternateContent xmlns:mc="http://schemas.openxmlformats.org/markup-compatibility/2006">
      <mc:Choice Requires="x14">
        <control shapeId="6150" r:id="rId14" name="RBL1">
          <controlPr defaultSize="0" autoLine="0" r:id="rId15">
            <anchor moveWithCells="1">
              <from>
                <xdr:col>12</xdr:col>
                <xdr:colOff>552450</xdr:colOff>
                <xdr:row>15</xdr:row>
                <xdr:rowOff>133350</xdr:rowOff>
              </from>
              <to>
                <xdr:col>12</xdr:col>
                <xdr:colOff>914400</xdr:colOff>
                <xdr:row>15</xdr:row>
                <xdr:rowOff>447675</xdr:rowOff>
              </to>
            </anchor>
          </controlPr>
        </control>
      </mc:Choice>
      <mc:Fallback>
        <control shapeId="6150" r:id="rId14" name="RBL1"/>
      </mc:Fallback>
    </mc:AlternateContent>
    <mc:AlternateContent xmlns:mc="http://schemas.openxmlformats.org/markup-compatibility/2006">
      <mc:Choice Requires="x14">
        <control shapeId="6148" r:id="rId16" name="LED1">
          <controlPr defaultSize="0" autoLine="0" r:id="rId17">
            <anchor moveWithCells="1">
              <from>
                <xdr:col>6</xdr:col>
                <xdr:colOff>628650</xdr:colOff>
                <xdr:row>15</xdr:row>
                <xdr:rowOff>247650</xdr:rowOff>
              </from>
              <to>
                <xdr:col>6</xdr:col>
                <xdr:colOff>1066800</xdr:colOff>
                <xdr:row>15</xdr:row>
                <xdr:rowOff>561975</xdr:rowOff>
              </to>
            </anchor>
          </controlPr>
        </control>
      </mc:Choice>
      <mc:Fallback>
        <control shapeId="6148" r:id="rId16" name="LED1"/>
      </mc:Fallback>
    </mc:AlternateContent>
    <mc:AlternateContent xmlns:mc="http://schemas.openxmlformats.org/markup-compatibility/2006">
      <mc:Choice Requires="x14">
        <control shapeId="6147" r:id="rId18" name="BB1">
          <controlPr defaultSize="0" autoLine="0" r:id="rId19">
            <anchor moveWithCells="1">
              <from>
                <xdr:col>11</xdr:col>
                <xdr:colOff>171450</xdr:colOff>
                <xdr:row>15</xdr:row>
                <xdr:rowOff>180975</xdr:rowOff>
              </from>
              <to>
                <xdr:col>11</xdr:col>
                <xdr:colOff>609600</xdr:colOff>
                <xdr:row>15</xdr:row>
                <xdr:rowOff>495300</xdr:rowOff>
              </to>
            </anchor>
          </controlPr>
        </control>
      </mc:Choice>
      <mc:Fallback>
        <control shapeId="6147" r:id="rId18" name="BB1"/>
      </mc:Fallback>
    </mc:AlternateContent>
    <mc:AlternateContent xmlns:mc="http://schemas.openxmlformats.org/markup-compatibility/2006">
      <mc:Choice Requires="x14">
        <control shapeId="6146" r:id="rId20" name="SB1">
          <controlPr defaultSize="0" autoLine="0" r:id="rId21">
            <anchor moveWithCells="1">
              <from>
                <xdr:col>10</xdr:col>
                <xdr:colOff>895350</xdr:colOff>
                <xdr:row>15</xdr:row>
                <xdr:rowOff>190500</xdr:rowOff>
              </from>
              <to>
                <xdr:col>10</xdr:col>
                <xdr:colOff>1257300</xdr:colOff>
                <xdr:row>15</xdr:row>
                <xdr:rowOff>504825</xdr:rowOff>
              </to>
            </anchor>
          </controlPr>
        </control>
      </mc:Choice>
      <mc:Fallback>
        <control shapeId="6146" r:id="rId20" name="SB1"/>
      </mc:Fallback>
    </mc:AlternateContent>
    <mc:AlternateContent xmlns:mc="http://schemas.openxmlformats.org/markup-compatibility/2006">
      <mc:Choice Requires="x14">
        <control shapeId="6145" r:id="rId22" name="UML1">
          <controlPr defaultSize="0" autoLine="0" r:id="rId23">
            <anchor moveWithCells="1">
              <from>
                <xdr:col>9</xdr:col>
                <xdr:colOff>809625</xdr:colOff>
                <xdr:row>15</xdr:row>
                <xdr:rowOff>152400</xdr:rowOff>
              </from>
              <to>
                <xdr:col>9</xdr:col>
                <xdr:colOff>1171575</xdr:colOff>
                <xdr:row>15</xdr:row>
                <xdr:rowOff>466725</xdr:rowOff>
              </to>
            </anchor>
          </controlPr>
        </control>
      </mc:Choice>
      <mc:Fallback>
        <control shapeId="6145" r:id="rId22" name="UM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Q2"/>
  <sheetViews>
    <sheetView workbookViewId="0"/>
  </sheetViews>
  <sheetFormatPr baseColWidth="10" defaultRowHeight="12.75" x14ac:dyDescent="0.2"/>
  <cols>
    <col min="1" max="1" width="17.28515625" bestFit="1" customWidth="1"/>
    <col min="2" max="2" width="19.85546875" bestFit="1" customWidth="1"/>
    <col min="3" max="3" width="10.140625" bestFit="1" customWidth="1"/>
    <col min="4" max="4" width="17.140625" bestFit="1" customWidth="1"/>
    <col min="5" max="5" width="16.5703125" bestFit="1" customWidth="1"/>
    <col min="6" max="6" width="13.7109375" bestFit="1" customWidth="1"/>
    <col min="7" max="7" width="19.140625" bestFit="1" customWidth="1"/>
    <col min="8" max="11" width="10.7109375" customWidth="1"/>
    <col min="12" max="12" width="13.140625" customWidth="1"/>
    <col min="13" max="13" width="12.28515625" style="215" customWidth="1"/>
    <col min="14" max="14" width="15.28515625" style="215" bestFit="1" customWidth="1"/>
    <col min="15" max="15" width="12.7109375" customWidth="1"/>
    <col min="16" max="19" width="15.7109375" customWidth="1"/>
  </cols>
  <sheetData>
    <row r="1" spans="1:17" x14ac:dyDescent="0.2">
      <c r="A1" t="s">
        <v>38</v>
      </c>
      <c r="B1" t="s">
        <v>36</v>
      </c>
      <c r="C1" t="s">
        <v>64</v>
      </c>
      <c r="D1" t="s">
        <v>37</v>
      </c>
      <c r="E1" t="s">
        <v>39</v>
      </c>
      <c r="F1" t="s">
        <v>40</v>
      </c>
      <c r="G1" t="s">
        <v>125</v>
      </c>
      <c r="H1" t="s">
        <v>34</v>
      </c>
      <c r="I1" t="s">
        <v>44</v>
      </c>
      <c r="J1" t="s">
        <v>35</v>
      </c>
      <c r="K1" t="s">
        <v>46</v>
      </c>
      <c r="L1" t="s">
        <v>42</v>
      </c>
      <c r="M1" t="s">
        <v>45</v>
      </c>
      <c r="N1" t="s">
        <v>41</v>
      </c>
    </row>
    <row r="2" spans="1:17" x14ac:dyDescent="0.2">
      <c r="A2" s="95" t="s">
        <v>300</v>
      </c>
      <c r="B2" s="95" t="s">
        <v>301</v>
      </c>
      <c r="C2" s="212">
        <v>28909</v>
      </c>
      <c r="D2" s="8">
        <v>12103800</v>
      </c>
      <c r="E2" s="213" t="s">
        <v>304</v>
      </c>
      <c r="F2" s="1" t="s">
        <v>305</v>
      </c>
      <c r="G2" s="1" t="s">
        <v>306</v>
      </c>
      <c r="H2" s="8">
        <v>0</v>
      </c>
      <c r="I2" s="8">
        <v>0</v>
      </c>
      <c r="J2" s="8">
        <v>0</v>
      </c>
      <c r="K2" s="8">
        <v>0</v>
      </c>
      <c r="L2" s="214">
        <v>0</v>
      </c>
      <c r="M2" s="216">
        <v>0</v>
      </c>
      <c r="N2" s="216">
        <v>12</v>
      </c>
      <c r="O2" s="2"/>
      <c r="P2" s="2"/>
      <c r="Q2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M2"/>
  <sheetViews>
    <sheetView workbookViewId="0"/>
  </sheetViews>
  <sheetFormatPr baseColWidth="10" defaultRowHeight="12.75" x14ac:dyDescent="0.2"/>
  <cols>
    <col min="1" max="1" width="14.28515625" customWidth="1"/>
    <col min="2" max="2" width="14.7109375" customWidth="1"/>
    <col min="3" max="3" width="23.28515625" bestFit="1" customWidth="1"/>
    <col min="4" max="4" width="22.28515625" bestFit="1" customWidth="1"/>
    <col min="5" max="5" width="18" bestFit="1" customWidth="1"/>
    <col min="6" max="6" width="16.7109375" bestFit="1" customWidth="1"/>
    <col min="7" max="7" width="25.85546875" bestFit="1" customWidth="1"/>
    <col min="8" max="8" width="19.28515625" bestFit="1" customWidth="1"/>
    <col min="9" max="9" width="19.5703125" customWidth="1"/>
    <col min="10" max="10" width="18.5703125" bestFit="1" customWidth="1"/>
    <col min="11" max="11" width="17.85546875" bestFit="1" customWidth="1"/>
    <col min="12" max="12" width="31.5703125" bestFit="1" customWidth="1"/>
    <col min="13" max="13" width="26" bestFit="1" customWidth="1"/>
  </cols>
  <sheetData>
    <row r="1" spans="1:13" ht="13.15" customHeight="1" x14ac:dyDescent="0.2">
      <c r="A1" s="4" t="s">
        <v>48</v>
      </c>
      <c r="B1" s="4" t="s">
        <v>17</v>
      </c>
      <c r="C1" s="4" t="s">
        <v>49</v>
      </c>
      <c r="D1" s="4" t="s">
        <v>50</v>
      </c>
      <c r="E1" s="4" t="s">
        <v>51</v>
      </c>
      <c r="F1" s="4" t="s">
        <v>52</v>
      </c>
      <c r="G1" s="4" t="s">
        <v>53</v>
      </c>
      <c r="H1" s="5" t="s">
        <v>283</v>
      </c>
      <c r="I1" s="4" t="s">
        <v>54</v>
      </c>
      <c r="J1" s="4" t="s">
        <v>55</v>
      </c>
      <c r="K1" s="4" t="s">
        <v>56</v>
      </c>
      <c r="L1" s="4" t="s">
        <v>57</v>
      </c>
      <c r="M1" s="4" t="s">
        <v>58</v>
      </c>
    </row>
    <row r="2" spans="1:13" x14ac:dyDescent="0.2">
      <c r="A2" s="99" t="s">
        <v>294</v>
      </c>
      <c r="B2" s="99">
        <v>123123</v>
      </c>
      <c r="C2" s="99">
        <v>123123</v>
      </c>
      <c r="D2" s="99" t="s">
        <v>67</v>
      </c>
      <c r="E2" s="99" t="s">
        <v>70</v>
      </c>
      <c r="F2" s="99" t="s">
        <v>67</v>
      </c>
      <c r="G2" s="99"/>
      <c r="H2" s="99">
        <v>1231</v>
      </c>
      <c r="I2" s="99" t="s">
        <v>67</v>
      </c>
      <c r="J2" s="99">
        <v>12312</v>
      </c>
      <c r="K2" s="99">
        <v>123123</v>
      </c>
      <c r="L2" s="99" t="s">
        <v>70</v>
      </c>
      <c r="M2" s="99" t="s">
        <v>71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/>
  <dimension ref="A1:F2"/>
  <sheetViews>
    <sheetView workbookViewId="0">
      <selection sqref="A1:F1"/>
    </sheetView>
  </sheetViews>
  <sheetFormatPr baseColWidth="10" defaultRowHeight="12.75" x14ac:dyDescent="0.2"/>
  <cols>
    <col min="1" max="1" width="42.42578125" bestFit="1" customWidth="1"/>
    <col min="2" max="2" width="42" bestFit="1" customWidth="1"/>
    <col min="3" max="3" width="30.28515625" bestFit="1" customWidth="1"/>
    <col min="4" max="4" width="55.42578125" bestFit="1" customWidth="1"/>
    <col min="5" max="5" width="50.7109375" bestFit="1" customWidth="1"/>
    <col min="6" max="6" width="54.5703125" style="228" bestFit="1" customWidth="1"/>
  </cols>
  <sheetData>
    <row r="1" spans="1:6" ht="13.15" customHeight="1" x14ac:dyDescent="0.2">
      <c r="A1" s="5" t="s">
        <v>284</v>
      </c>
      <c r="B1" s="4" t="s">
        <v>285</v>
      </c>
      <c r="C1" s="4" t="s">
        <v>286</v>
      </c>
      <c r="D1" s="4" t="s">
        <v>291</v>
      </c>
      <c r="E1" s="4" t="s">
        <v>292</v>
      </c>
      <c r="F1" s="226" t="s">
        <v>293</v>
      </c>
    </row>
    <row r="2" spans="1:6" x14ac:dyDescent="0.2">
      <c r="A2" s="99" t="s">
        <v>70</v>
      </c>
      <c r="B2" s="99" t="s">
        <v>71</v>
      </c>
      <c r="C2" s="99" t="s">
        <v>70</v>
      </c>
      <c r="D2" s="99" t="s">
        <v>70</v>
      </c>
      <c r="E2" s="99" t="s">
        <v>267</v>
      </c>
      <c r="F2" s="227">
        <v>45924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/>
  <dimension ref="A1:F4"/>
  <sheetViews>
    <sheetView showZeros="0" workbookViewId="0">
      <selection sqref="A1:F1"/>
    </sheetView>
  </sheetViews>
  <sheetFormatPr baseColWidth="10" defaultRowHeight="12.75" x14ac:dyDescent="0.2"/>
  <cols>
    <col min="1" max="1" width="6.5703125" bestFit="1" customWidth="1"/>
    <col min="2" max="2" width="23.28515625" customWidth="1"/>
    <col min="3" max="3" width="29.28515625" customWidth="1"/>
    <col min="4" max="4" width="56.7109375" customWidth="1"/>
    <col min="5" max="6" width="18.5703125" bestFit="1" customWidth="1"/>
    <col min="7" max="7" width="17.28515625" bestFit="1" customWidth="1"/>
    <col min="8" max="8" width="19" bestFit="1" customWidth="1"/>
    <col min="9" max="9" width="17.42578125" bestFit="1" customWidth="1"/>
    <col min="10" max="10" width="21.28515625" bestFit="1" customWidth="1"/>
  </cols>
  <sheetData>
    <row r="1" spans="1:6" x14ac:dyDescent="0.2">
      <c r="A1" t="s">
        <v>287</v>
      </c>
      <c r="B1" t="s">
        <v>250</v>
      </c>
      <c r="C1" t="s">
        <v>288</v>
      </c>
      <c r="D1" t="s">
        <v>282</v>
      </c>
      <c r="E1" t="s">
        <v>289</v>
      </c>
      <c r="F1" t="s">
        <v>290</v>
      </c>
    </row>
    <row r="2" spans="1:6" ht="15" x14ac:dyDescent="0.2">
      <c r="A2" s="101">
        <v>1</v>
      </c>
      <c r="B2" s="95" t="s">
        <v>159</v>
      </c>
      <c r="C2" s="95" t="s">
        <v>205</v>
      </c>
      <c r="D2" s="100" t="s">
        <v>75</v>
      </c>
      <c r="E2" s="99"/>
      <c r="F2" s="98"/>
    </row>
    <row r="3" spans="1:6" x14ac:dyDescent="0.2">
      <c r="A3">
        <v>2</v>
      </c>
      <c r="B3" t="s">
        <v>131</v>
      </c>
      <c r="C3" t="s">
        <v>227</v>
      </c>
      <c r="D3" t="s">
        <v>155</v>
      </c>
    </row>
    <row r="4" spans="1:6" x14ac:dyDescent="0.2">
      <c r="A4">
        <v>3</v>
      </c>
      <c r="B4" t="s">
        <v>131</v>
      </c>
      <c r="C4" t="s">
        <v>297</v>
      </c>
      <c r="D4" t="s">
        <v>74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6"/>
  <dimension ref="A1:B2"/>
  <sheetViews>
    <sheetView zoomScale="110" zoomScaleNormal="110" workbookViewId="0">
      <selection sqref="A1:B1"/>
    </sheetView>
  </sheetViews>
  <sheetFormatPr baseColWidth="10" defaultRowHeight="12.75" x14ac:dyDescent="0.2"/>
  <cols>
    <col min="1" max="1" width="37.7109375" bestFit="1" customWidth="1"/>
    <col min="2" max="2" width="48.7109375" customWidth="1"/>
  </cols>
  <sheetData>
    <row r="1" spans="1:2" x14ac:dyDescent="0.2">
      <c r="A1" t="s">
        <v>43</v>
      </c>
      <c r="B1" t="s">
        <v>59</v>
      </c>
    </row>
    <row r="2" spans="1:2" x14ac:dyDescent="0.2">
      <c r="A2" s="3" t="s">
        <v>70</v>
      </c>
      <c r="B2" s="7">
        <v>28909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7"/>
  <dimension ref="A1:A2"/>
  <sheetViews>
    <sheetView workbookViewId="0"/>
  </sheetViews>
  <sheetFormatPr baseColWidth="10" defaultRowHeight="12.75" x14ac:dyDescent="0.2"/>
  <cols>
    <col min="1" max="1" width="81.85546875" customWidth="1"/>
  </cols>
  <sheetData>
    <row r="1" spans="1:1" x14ac:dyDescent="0.2">
      <c r="A1" t="s">
        <v>25</v>
      </c>
    </row>
    <row r="2" spans="1:1" x14ac:dyDescent="0.2">
      <c r="A2" s="6" t="s">
        <v>245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8"/>
  <dimension ref="A1:D5"/>
  <sheetViews>
    <sheetView workbookViewId="0"/>
  </sheetViews>
  <sheetFormatPr baseColWidth="10" defaultRowHeight="12.75" x14ac:dyDescent="0.2"/>
  <cols>
    <col min="1" max="1" width="5.85546875" bestFit="1" customWidth="1"/>
    <col min="2" max="2" width="75.28515625" style="102" customWidth="1"/>
    <col min="3" max="3" width="24.140625" style="197" customWidth="1"/>
    <col min="4" max="4" width="21.7109375" customWidth="1"/>
  </cols>
  <sheetData>
    <row r="1" spans="1:4" x14ac:dyDescent="0.2">
      <c r="A1" t="s">
        <v>287</v>
      </c>
      <c r="B1" s="102" t="s">
        <v>47</v>
      </c>
      <c r="C1" s="225" t="s">
        <v>27</v>
      </c>
      <c r="D1" s="8" t="s">
        <v>29</v>
      </c>
    </row>
    <row r="2" spans="1:4" x14ac:dyDescent="0.2">
      <c r="A2" s="103">
        <v>1</v>
      </c>
      <c r="B2" s="104" t="s">
        <v>307</v>
      </c>
      <c r="C2" s="198">
        <v>0</v>
      </c>
      <c r="D2" s="239">
        <v>0</v>
      </c>
    </row>
    <row r="3" spans="1:4" x14ac:dyDescent="0.2">
      <c r="A3" s="103">
        <v>2</v>
      </c>
      <c r="B3" s="104" t="s">
        <v>308</v>
      </c>
      <c r="C3" s="198">
        <v>0</v>
      </c>
      <c r="D3" s="239" t="s">
        <v>310</v>
      </c>
    </row>
    <row r="4" spans="1:4" x14ac:dyDescent="0.2">
      <c r="A4" s="103">
        <v>3</v>
      </c>
      <c r="B4" s="104" t="s">
        <v>309</v>
      </c>
      <c r="C4" s="198" t="s">
        <v>77</v>
      </c>
      <c r="D4" s="239" t="s">
        <v>310</v>
      </c>
    </row>
    <row r="5" spans="1:4" x14ac:dyDescent="0.2">
      <c r="A5" s="103">
        <v>4</v>
      </c>
      <c r="B5" s="104" t="s">
        <v>309</v>
      </c>
      <c r="C5" s="198" t="s">
        <v>77</v>
      </c>
      <c r="D5" s="239" t="s">
        <v>310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PDF" Type="http://schemas.openxmlformats.org/officeDocument/2006/relationships/image" Target="images/8c3bbfd6-bf0c-4c21-88a6-569515788121.png"/><Relationship Id="Schrift_Rot" Type="http://schemas.openxmlformats.org/officeDocument/2006/relationships/image" Target="images/f6d85a77-b213-4a40-98cf-f671d8e5cc72.png"/><Relationship Id="DFlagge" Type="http://schemas.openxmlformats.org/officeDocument/2006/relationships/image" Target="images/094e4783-1408-40ad-8322-0dc80975a332.png"/><Relationship Id="Speichern" Type="http://schemas.openxmlformats.org/officeDocument/2006/relationships/image" Target="images/e14e4d01-35fc-49de-9482-8d3d2c0a5f67.png"/><Relationship Id="Fett" Type="http://schemas.openxmlformats.org/officeDocument/2006/relationships/image" Target="images/d1565845-9b1e-4d80-ac5f-16c789ecaf6e.png"/><Relationship Id="Schrift_Blau" Type="http://schemas.openxmlformats.org/officeDocument/2006/relationships/image" Target="images/b561bf5f-d2de-4b3a-84b1-560af9c89f24.png"/><Relationship Id="RAP_link" Type="http://schemas.openxmlformats.org/officeDocument/2006/relationships/image" Target="images/660acc10-f30e-4009-ba6f-e1634c43f0b9.png"/><Relationship Id="EFlagge" Type="http://schemas.openxmlformats.org/officeDocument/2006/relationships/image" Target="images/de0f1cc1-6d9b-4b5c-b2ba-0a0a74ec19cd.png"/><Relationship Id="PDF_link" Type="http://schemas.openxmlformats.org/officeDocument/2006/relationships/image" Target="images/ec6d6b87-5957-4323-b197-7d731967e871.png"/></Relationships>
</file>

<file path=customUI/customUI14.xml><?xml version="1.0" encoding="utf-8"?>
<customUI xmlns="http://schemas.microsoft.com/office/2009/07/customui">
  <ribbon>
    <tabs>
      <tab id="tabMu" insertAfterMso="TabHome" label="Rohbauabnahme">
        <group id="grp10" label=" ">
          <button id="tgb10" label="Schließen" imageMso="BroadcastEnd" onAction="Datei_schließen" size="large"/>
        </group>
        <group id="grp20" label=" ">
          <button id="tgb20" label="Speichern" image="Speichern" onAction="Datei_speichern" size="large"/>
        </group>
        <group id="grp30" label=" ">
          <button id="tgb30" label="Speichern als .pdf" getEnabled="getEnabled_user" image="PDF" onAction="Speichern_pdf" size="large"/>
        </group>
        <group id="grp40" label=" ">
          <button id="tgb40" label="Drucken" imageMso="ChangePrinter" onAction="Drucken" size="large"/>
        </group>
        <group id="grp60" label=" ">
          <button id="tgb60" label="Zeile einfügen" imageMso="DrillInto" onAction="Zeile__einfügen" size="large"/>
          <button id="tgb61" label="Zeile löschen" imageMso="DrillOut" onAction="Zeile__löschen" size="large"/>
          <button id="tgb62" label="Alles freigeben" imageMso="ReadingModeToPrintView" onAction="Kundenfreigabe__komplett" size="large"/>
        </group>
        <group id="grp70" label=" ">
          <button id="tgb70" label=" " image="Fett" onAction="Schrift__Fett" size="large"/>
          <button id="tgb71" label="Schrift Bearbeiten" image="Schrift_Rot" onAction="Schrift__Rot" size="large"/>
          <button id="tgb72" label=" " image="Schrift_Blau" onAction="Schrift__Normal" size="large"/>
        </group>
        <group id="grp80" label=" ">
          <button id="tgb80" label="Deutsch" image="DFlagge" onAction="English_Deutsch" size="large"/>
          <button id="tgb81" label="English" image="EFlagge" onAction="Deutsch_English" size="large"/>
        </group>
        <group id="grp100" label=" ">
          <button id="tgb101" label=".pdf als Link versenden" getEnabled="getEnabled_user" image="PDF_link" onAction="LinkPDF_versenden" size="large"/>
          <button id="tgb100" label="Datei als Link versenden" getEnabled="getEnabled_user" image="RAP_link" onAction="Link_versenden" size="large"/>
        </group>
        <group id="grp50" label=" ">
          <button id="tgb50" label="Ordner Rohbauabnahme" imageMso="FilesToolNavigateToParentFolder" onAction="Auftrags__Ordner" size="large"/>
          <button id="tgb51" label="Fotos Rohbauabnahme" imageMso="Bevel" onAction="Bilder__RBA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53</vt:i4>
      </vt:variant>
    </vt:vector>
  </HeadingPairs>
  <TitlesOfParts>
    <vt:vector size="63" baseType="lpstr">
      <vt:lpstr>FB_Rohbauabnahmeprotokoll</vt:lpstr>
      <vt:lpstr>1</vt:lpstr>
      <vt:lpstr>FZB</vt:lpstr>
      <vt:lpstr>Ergebnis</vt:lpstr>
      <vt:lpstr>Lackierung u. Beschichtung</vt:lpstr>
      <vt:lpstr>Fahrzeugbeschriftung</vt:lpstr>
      <vt:lpstr>Fahrzeugbeleuchtung</vt:lpstr>
      <vt:lpstr>Zubehör</vt:lpstr>
      <vt:lpstr>Kabel u. Funklayout</vt:lpstr>
      <vt:lpstr>Techn. Änderung</vt:lpstr>
      <vt:lpstr>Aufbautyp</vt:lpstr>
      <vt:lpstr>Auftrags_Nr</vt:lpstr>
      <vt:lpstr>Bedienung1</vt:lpstr>
      <vt:lpstr>Bedienung2</vt:lpstr>
      <vt:lpstr>BedienungVom</vt:lpstr>
      <vt:lpstr>Bereich_Gesamt</vt:lpstr>
      <vt:lpstr>Bereich_ohnePreis</vt:lpstr>
      <vt:lpstr>Bereich_Unterschrift</vt:lpstr>
      <vt:lpstr>BW</vt:lpstr>
      <vt:lpstr>BW_Daten</vt:lpstr>
      <vt:lpstr>BW_Ende</vt:lpstr>
      <vt:lpstr>BW_Start</vt:lpstr>
      <vt:lpstr>Dateityp</vt:lpstr>
      <vt:lpstr>Dateityp_Bilder_RBA</vt:lpstr>
      <vt:lpstr>DatumFahrzeugbeschriftung</vt:lpstr>
      <vt:lpstr>DatumUnterschrift</vt:lpstr>
      <vt:lpstr>DatumZubehör</vt:lpstr>
      <vt:lpstr>FB_Rohbauabnahmeprotokoll!Druckbereich</vt:lpstr>
      <vt:lpstr>FB_Rohbauabnahmeprotokoll!Drucktitel</vt:lpstr>
      <vt:lpstr>Fahrzeugbeschriftung</vt:lpstr>
      <vt:lpstr>Funklayout</vt:lpstr>
      <vt:lpstr>Hersteller_Typ</vt:lpstr>
      <vt:lpstr>Kategorie</vt:lpstr>
      <vt:lpstr>Kunde</vt:lpstr>
      <vt:lpstr>Nr_FZB</vt:lpstr>
      <vt:lpstr>Position</vt:lpstr>
      <vt:lpstr>Preis</vt:lpstr>
      <vt:lpstr>Preis_Daten</vt:lpstr>
      <vt:lpstr>Preis_Ende</vt:lpstr>
      <vt:lpstr>Preis_Formatierung</vt:lpstr>
      <vt:lpstr>Projektleiter_MU</vt:lpstr>
      <vt:lpstr>Prüf_Fahrzeugbeschriftung</vt:lpstr>
      <vt:lpstr>Prüf_Kopfteil</vt:lpstr>
      <vt:lpstr>repl_table</vt:lpstr>
      <vt:lpstr>Schutz_Änderungen</vt:lpstr>
      <vt:lpstr>Schutz_Beleuchtung</vt:lpstr>
      <vt:lpstr>Schutz_Ende</vt:lpstr>
      <vt:lpstr>Schutz_Fahrzeug</vt:lpstr>
      <vt:lpstr>Schutz_Kabel</vt:lpstr>
      <vt:lpstr>Schutz_Kopf</vt:lpstr>
      <vt:lpstr>Schutz_Lack</vt:lpstr>
      <vt:lpstr>Schutz_Spalte_25</vt:lpstr>
      <vt:lpstr>Schutz_Spalte1</vt:lpstr>
      <vt:lpstr>Schutz_Spalte2_oben</vt:lpstr>
      <vt:lpstr>Schutz_Spalte2_unten</vt:lpstr>
      <vt:lpstr>Schutz_Spalte26_34</vt:lpstr>
      <vt:lpstr>Schutz_Zubehör</vt:lpstr>
      <vt:lpstr>SummeGesamt</vt:lpstr>
      <vt:lpstr>Techn_Änderungen</vt:lpstr>
      <vt:lpstr>Technische_Änderungen</vt:lpstr>
      <vt:lpstr>Verzeichnis</vt:lpstr>
      <vt:lpstr>Verzeichnis_Bilder_RBA</vt:lpstr>
      <vt:lpstr>Zub_1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Thorsten Mielchen</dc:creator>
  <cp:lastModifiedBy>Jan Schroeder</cp:lastModifiedBy>
  <cp:lastPrinted>2025-09-10T06:38:36Z</cp:lastPrinted>
  <dcterms:created xsi:type="dcterms:W3CDTF">2011-10-26T12:31:51Z</dcterms:created>
  <dcterms:modified xsi:type="dcterms:W3CDTF">2025-09-15T11:52:35Z</dcterms:modified>
</cp:coreProperties>
</file>